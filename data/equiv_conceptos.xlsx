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_Ia\Version20\data\"/>
    </mc:Choice>
  </mc:AlternateContent>
  <xr:revisionPtr revIDLastSave="0" documentId="13_ncr:1_{7202633F-758A-4164-8528-28F1338E9069}" xr6:coauthVersionLast="47" xr6:coauthVersionMax="47" xr10:uidLastSave="{00000000-0000-0000-0000-000000000000}"/>
  <bookViews>
    <workbookView xWindow="0" yWindow="360" windowWidth="20730" windowHeight="11040" activeTab="1" xr2:uid="{21D7F38F-0E66-43EB-8F64-95EA0637AE65}"/>
  </bookViews>
  <sheets>
    <sheet name="Hoja1" sheetId="1" r:id="rId1"/>
    <sheet name="Hoja2" sheetId="3" r:id="rId2"/>
  </sheets>
  <definedNames>
    <definedName name="_xlnm._FilterDatabase" localSheetId="0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3" l="1"/>
  <c r="E21" i="3"/>
  <c r="E23" i="3"/>
  <c r="E24" i="3"/>
  <c r="E18" i="3"/>
  <c r="E19" i="3"/>
  <c r="E26" i="3"/>
  <c r="E20" i="3"/>
  <c r="E25" i="3"/>
  <c r="E6" i="3"/>
  <c r="E7" i="3"/>
  <c r="E13" i="3"/>
  <c r="E12" i="3"/>
  <c r="E11" i="3"/>
  <c r="E10" i="3"/>
  <c r="E9" i="3"/>
  <c r="E8" i="3"/>
</calcChain>
</file>

<file path=xl/sharedStrings.xml><?xml version="1.0" encoding="utf-8"?>
<sst xmlns="http://schemas.openxmlformats.org/spreadsheetml/2006/main" count="364" uniqueCount="199">
  <si>
    <t>Sueldo(2101)</t>
  </si>
  <si>
    <t>sueldoBase</t>
  </si>
  <si>
    <t>Sobresueldo(2102)</t>
  </si>
  <si>
    <t>sobresueldoMi</t>
  </si>
  <si>
    <t>Comisiones(2103)</t>
  </si>
  <si>
    <t>comisionMi</t>
  </si>
  <si>
    <t>Semana corrida(2104)</t>
  </si>
  <si>
    <t>semanaCorr</t>
  </si>
  <si>
    <t>Participación(2105)</t>
  </si>
  <si>
    <t>participacionMi</t>
  </si>
  <si>
    <t>Gratificación(2106)</t>
  </si>
  <si>
    <t>gratificacion</t>
  </si>
  <si>
    <t>Recargo 30% día domingo(2107)</t>
  </si>
  <si>
    <t>recargoMi</t>
  </si>
  <si>
    <t>Remun. variable pagada en vacaciones(2108)</t>
  </si>
  <si>
    <t>remvarMi</t>
  </si>
  <si>
    <t>Remun. variable pagada en clausura(2109)</t>
  </si>
  <si>
    <t>otremMi</t>
  </si>
  <si>
    <t>Bonos u otras remun. fijas mensuales(2111)</t>
  </si>
  <si>
    <t>BonoMi</t>
  </si>
  <si>
    <t>Tratos(2112)</t>
  </si>
  <si>
    <t>tratoMi</t>
  </si>
  <si>
    <t>Bonos u otras remun. variables mensuales o superiores a un mes(2113)</t>
  </si>
  <si>
    <t>bonsupMi</t>
  </si>
  <si>
    <t>Ejercicio opción no pactada en contrato(2114)</t>
  </si>
  <si>
    <t>otrosHaberes</t>
  </si>
  <si>
    <t>Beneficios en especie constitutivos de remun(2115)</t>
  </si>
  <si>
    <t>benefMi</t>
  </si>
  <si>
    <t>Remuneraciones bimestrales(2116)</t>
  </si>
  <si>
    <t>Remuneraciones trimestrales(2117)</t>
  </si>
  <si>
    <t>Remuneraciones cuatrimestral(2118)</t>
  </si>
  <si>
    <t>Remuneraciones semestrales(2119)</t>
  </si>
  <si>
    <t>Remuneraciones anuales(2120)</t>
  </si>
  <si>
    <t>Participación anual(2121)</t>
  </si>
  <si>
    <t>Gratificación anual(2122)</t>
  </si>
  <si>
    <t>Otras remuneraciones superiores a un mes(2123)</t>
  </si>
  <si>
    <t>Pago por horas de trabajo sindical(2124)</t>
  </si>
  <si>
    <t>pagosindMi</t>
  </si>
  <si>
    <t>Sueldo empresarial (2161)</t>
  </si>
  <si>
    <t>Subsidio por incapacidad laboral por licencia médica(2201)</t>
  </si>
  <si>
    <t>Beca de estudio(2202)</t>
  </si>
  <si>
    <t>Gratificaciones de zona(2203)</t>
  </si>
  <si>
    <t>Alojamiento por razones de trabajo(2310)</t>
  </si>
  <si>
    <t>alojamientoTrabajoMi</t>
  </si>
  <si>
    <t>Asignación de desgaste herramienta(2305)</t>
  </si>
  <si>
    <t>AsigDesgHerrMi</t>
  </si>
  <si>
    <t>Asignación de pérdida de caja(2304)</t>
  </si>
  <si>
    <t>asigPerdCajaMi</t>
  </si>
  <si>
    <t>Asignación de traslación(2312)</t>
  </si>
  <si>
    <t>TraslacionMi</t>
  </si>
  <si>
    <t>Asignación familiar legal(2311)</t>
  </si>
  <si>
    <t>cargasSimp</t>
  </si>
  <si>
    <t>Asignación trabajo a distancia o teletrabajo(2309)</t>
  </si>
  <si>
    <t>Colación(2301)</t>
  </si>
  <si>
    <t>colacion</t>
  </si>
  <si>
    <t>Depósito convenido hasta UF 900(2347)</t>
  </si>
  <si>
    <t>otingrMi</t>
  </si>
  <si>
    <t>Gastos por cambio de residencia(2307)</t>
  </si>
  <si>
    <t>gastoMi</t>
  </si>
  <si>
    <t>Gastos por causa del trabajo(2306)</t>
  </si>
  <si>
    <t>Indemnización años de servicio(2314)</t>
  </si>
  <si>
    <t>iasLegal</t>
  </si>
  <si>
    <t>Indemnización fuero maternal(2316)</t>
  </si>
  <si>
    <t>indemMMi</t>
  </si>
  <si>
    <t>Indemnización por feriado legal(2313)</t>
  </si>
  <si>
    <t>iasVacaciones</t>
  </si>
  <si>
    <t>Indemnización sustitutiva del aviso previo(2315)</t>
  </si>
  <si>
    <t>iasMes</t>
  </si>
  <si>
    <t>Indemnizaciones contractuales tributables(2418)</t>
  </si>
  <si>
    <t>iasafecta</t>
  </si>
  <si>
    <t>Indemnizaciones voluntarias tributables(2417)</t>
  </si>
  <si>
    <t>iasVoluntaria</t>
  </si>
  <si>
    <t>Movilización(2302)</t>
  </si>
  <si>
    <t>movilizacion</t>
  </si>
  <si>
    <t>Otros ingresos no constitutivos de renta(2204)</t>
  </si>
  <si>
    <t>Pago indemnización a todo evento(2331)</t>
  </si>
  <si>
    <t>indemNMi</t>
  </si>
  <si>
    <t>Sala cuna(2308)</t>
  </si>
  <si>
    <t>salaCMi</t>
  </si>
  <si>
    <t>Viáticos(2303)</t>
  </si>
  <si>
    <t>viaticoMi</t>
  </si>
  <si>
    <t>Cotización obligatoria previsional (AFP o IPS)(3141)</t>
  </si>
  <si>
    <t>afp</t>
  </si>
  <si>
    <t>Cotización obligatoria salud 7%(3143)</t>
  </si>
  <si>
    <t>isapre</t>
  </si>
  <si>
    <t>Cotización voluntaria para salud(3144)</t>
  </si>
  <si>
    <t>Cotización AFC - trabajador(3151)</t>
  </si>
  <si>
    <t>cesEmpleado</t>
  </si>
  <si>
    <t>Cotizaciones técnico extranjero para seguridad social fuera de Chile(3146)</t>
  </si>
  <si>
    <t>superAnnua</t>
  </si>
  <si>
    <t>Descuento depósito convenido hasta UF 900 anual(3147)</t>
  </si>
  <si>
    <t>apviConvenido</t>
  </si>
  <si>
    <t>Cotización APVi Mod A(3155)</t>
  </si>
  <si>
    <t>apvi</t>
  </si>
  <si>
    <t>Cotización APVi Mod B hasta UF50(3156)</t>
  </si>
  <si>
    <t>Cotización APVc Mod A(3157)</t>
  </si>
  <si>
    <t>apvc</t>
  </si>
  <si>
    <t>Cotización APVc Mod B hasta UF50(3158)</t>
  </si>
  <si>
    <t>Impuesto retenido por remuneraciones(3161)</t>
  </si>
  <si>
    <t>impuesto</t>
  </si>
  <si>
    <t>Impuesto retenido por indemnizaciones(3162)</t>
  </si>
  <si>
    <t>imptoindMi</t>
  </si>
  <si>
    <t>Mayor retención de impuestos solicitada por el trabajador(3163)</t>
  </si>
  <si>
    <t>ppm</t>
  </si>
  <si>
    <t>Impuesto retenido por reliquidación remun. devengadas otros períodos(3164)</t>
  </si>
  <si>
    <t>reliquidaImpuesto</t>
  </si>
  <si>
    <t>Diferencia impuesto reliquidación remun. devengadas en este período(3165)</t>
  </si>
  <si>
    <t>Retención préstamo clase media 2020 (Ley 21.252) (3166)</t>
  </si>
  <si>
    <t>solidarioremu</t>
  </si>
  <si>
    <t>Rebaja zona extrema DL 889 (3167)</t>
  </si>
  <si>
    <t>zonaExtrema</t>
  </si>
  <si>
    <t>Cotización adicional trabajo pesado - trabajador(3154)</t>
  </si>
  <si>
    <t>trabajoPesaEmpl</t>
  </si>
  <si>
    <t>Crédito cooperativas de ahorro(3182)</t>
  </si>
  <si>
    <t>credMi</t>
  </si>
  <si>
    <t>Crédito social CCAF(3110)</t>
  </si>
  <si>
    <t>cajaCred</t>
  </si>
  <si>
    <t>Cuota sindical 1(3171)</t>
  </si>
  <si>
    <t>CuotaSindMi</t>
  </si>
  <si>
    <t>Cuota sindical 10(3180)</t>
  </si>
  <si>
    <t>Cuota sindical 2(3172)</t>
  </si>
  <si>
    <t>Cuota sindical 3(3173)</t>
  </si>
  <si>
    <t>Cuota sindical 4(3174)</t>
  </si>
  <si>
    <t>Cuota sindical 5(3175)</t>
  </si>
  <si>
    <t>Cuota sindical 6(3176)</t>
  </si>
  <si>
    <t>Cuota sindical 7(3177)</t>
  </si>
  <si>
    <t>Cuota sindical 8(3178)</t>
  </si>
  <si>
    <t>Cuota sindical 9(3179)</t>
  </si>
  <si>
    <t>Cuota vivienda o educación(3181)</t>
  </si>
  <si>
    <t>cuotavivMi</t>
  </si>
  <si>
    <t>Descuento mujer casada(3187)</t>
  </si>
  <si>
    <t>otrosDesctoMi</t>
  </si>
  <si>
    <t>Descuentos por anticipos y préstamos(3188)</t>
  </si>
  <si>
    <t>AnticipoPrestamoMi</t>
  </si>
  <si>
    <t>Donaciones culturales y de reconstrucción(3184)</t>
  </si>
  <si>
    <t>Otros descuentos autorizados y solicitados por el trabajador(3183)</t>
  </si>
  <si>
    <t>otrdescMi</t>
  </si>
  <si>
    <t>Otros descuentos(3185)</t>
  </si>
  <si>
    <t>Pensiones de alimentos(3186)</t>
  </si>
  <si>
    <t>retencionJudicial</t>
  </si>
  <si>
    <t>Total líquido(5501)</t>
  </si>
  <si>
    <t>totalesEmpl</t>
  </si>
  <si>
    <t>AFC - Aporte empleador(4151)</t>
  </si>
  <si>
    <t>cesAporteCi</t>
  </si>
  <si>
    <t>Aporte empleador seguro accidentes del trabajo y Ley SANNA(4152)</t>
  </si>
  <si>
    <t>mutual</t>
  </si>
  <si>
    <t>Aporte adicional trabajo pesado - empleador(4154)</t>
  </si>
  <si>
    <t>trabajoPesa</t>
  </si>
  <si>
    <t>Aporte empleador seguro invalidez y sobrevivencia(4155)</t>
  </si>
  <si>
    <t>sis</t>
  </si>
  <si>
    <t>APVC - Aporte Empleador(4157)</t>
  </si>
  <si>
    <t>apvcAporte</t>
  </si>
  <si>
    <t>cod_lre</t>
  </si>
  <si>
    <t>concepto_detalle</t>
  </si>
  <si>
    <t>Aguinaldo(2110)</t>
  </si>
  <si>
    <t>AguinaldoMi</t>
  </si>
  <si>
    <t>Tipo</t>
  </si>
  <si>
    <t>Aporte Empleador</t>
  </si>
  <si>
    <t>Haber afecto</t>
  </si>
  <si>
    <t>Haber exento</t>
  </si>
  <si>
    <t>Descuento Legal</t>
  </si>
  <si>
    <t>Descuento</t>
  </si>
  <si>
    <t>licenciaDias</t>
  </si>
  <si>
    <t>Dato</t>
  </si>
  <si>
    <t>cesAporteSol</t>
  </si>
  <si>
    <t>becaMi</t>
  </si>
  <si>
    <t>AsigTeletrabajoMi</t>
  </si>
  <si>
    <t>reliquidaTrabPesa</t>
  </si>
  <si>
    <t>reliquidaMutual</t>
  </si>
  <si>
    <t>reliquidaSis</t>
  </si>
  <si>
    <t>reliquidaCesCi</t>
  </si>
  <si>
    <t>reliquidaCesSol</t>
  </si>
  <si>
    <t>Nro días de licencia médica en el mes(1116)</t>
  </si>
  <si>
    <t>Imponible</t>
  </si>
  <si>
    <t>Imponible mesn ant sin lic</t>
  </si>
  <si>
    <t>5A0150</t>
  </si>
  <si>
    <t>5A0540</t>
  </si>
  <si>
    <t>aporteAFPemp</t>
  </si>
  <si>
    <t>5A0550</t>
  </si>
  <si>
    <t>aporteFAPPCEV</t>
  </si>
  <si>
    <t>5A0560</t>
  </si>
  <si>
    <t>aporteFAPPBAC</t>
  </si>
  <si>
    <t>5A0520</t>
  </si>
  <si>
    <t>5A0530</t>
  </si>
  <si>
    <t>TRABAJADOR CON ISAPRE</t>
  </si>
  <si>
    <t>TRABAJADOR CON FONASA</t>
  </si>
  <si>
    <t>5A0400</t>
  </si>
  <si>
    <t>Mutual: 0,93% sobre 3.678.639 + Ley sanna: 0</t>
  </si>
  <si>
    <t>Seguro Invalidez y Sobrevivencia: 3.678.639 x 1.78%</t>
  </si>
  <si>
    <t>Aporte FAPP Compensación Expectativa de Vida: 3.678.639 x 0.72%</t>
  </si>
  <si>
    <t>Aporte FAPP Beneficio años cotizados: 3.678.639 x 0.90%</t>
  </si>
  <si>
    <t>Seguro de Cesantia CI: 5.526.134 x 1.6%</t>
  </si>
  <si>
    <t>Seguro de Cesantia Solidario: 5.526.134 x 0.8%</t>
  </si>
  <si>
    <t>Trabajo Pesado: 2,00% sobre 3.678.639</t>
  </si>
  <si>
    <t>Aporte a CCAF: losandes 4.2% de 3.678.639</t>
  </si>
  <si>
    <t>5A0300</t>
  </si>
  <si>
    <t>5A0500</t>
  </si>
  <si>
    <t>Aporte AFP Empleador: 3.678.639 x 0.10%</t>
  </si>
  <si>
    <t>cajaComp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</si>
</sst>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212529"/>
      <name val="Roboto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6492BE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0">
      <alignment horizontal="center" vertical="center"/>
    </xf>
    <xf numFmtId="41" fontId="4" fillId="0" borderId="0" applyFont="0" applyFill="0" applyBorder="0" applyAlignment="0" applyProtection="0"/>
    <xf numFmtId="0" fontId="6" fillId="2" borderId="0">
      <alignment horizontal="center" vertical="center"/>
    </xf>
  </cellStyleXfs>
  <cellXfs count="9">
    <xf numFmtId="0" fontId="0" fillId="0" borderId="0" xfId="0"/>
    <xf numFmtId="0" fontId="0" fillId="0" borderId="1" xfId="0" applyBorder="1"/>
    <xf numFmtId="0" fontId="1" fillId="3" borderId="1" xfId="0" applyFont="1" applyFill="1" applyBorder="1"/>
    <xf numFmtId="0" fontId="3" fillId="0" borderId="1" xfId="0" applyFont="1" applyBorder="1"/>
    <xf numFmtId="41" fontId="0" fillId="0" borderId="0" xfId="2" applyFont="1"/>
    <xf numFmtId="0" fontId="0" fillId="0" borderId="0" xfId="0"/>
    <xf numFmtId="41" fontId="0" fillId="0" borderId="0" xfId="0" applyNumberForma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4">
    <cellStyle name="header" xfId="1" xr:uid="{A14DF8E0-F09F-4D0A-8532-589F1ABA7872}"/>
    <cellStyle name="header 2" xfId="3" xr:uid="{86309DAC-4FE2-4807-A079-B84BE9C4AAE0}"/>
    <cellStyle name="Millares [0]" xfId="2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73D0-2815-4A2D-9523-7F8CC520349F}">
  <dimension ref="A1:C104"/>
  <sheetViews>
    <sheetView workbookViewId="0">
      <selection activeCell="A59" sqref="A59"/>
    </sheetView>
  </sheetViews>
  <sheetFormatPr baseColWidth="10" defaultRowHeight="15" x14ac:dyDescent="0.25"/>
  <cols>
    <col min="1" max="1" width="82" customWidth="1"/>
    <col min="2" max="2" width="20.85546875" bestFit="1" customWidth="1"/>
    <col min="3" max="3" width="16.85546875" bestFit="1" customWidth="1"/>
    <col min="4" max="5" width="16.85546875" customWidth="1"/>
    <col min="6" max="6" width="60.85546875" bestFit="1" customWidth="1"/>
    <col min="7" max="7" width="17.42578125" bestFit="1" customWidth="1"/>
    <col min="8" max="8" width="16.85546875" bestFit="1" customWidth="1"/>
  </cols>
  <sheetData>
    <row r="1" spans="1:3" ht="15.75" x14ac:dyDescent="0.25">
      <c r="A1" s="2" t="s">
        <v>152</v>
      </c>
      <c r="B1" s="2" t="s">
        <v>153</v>
      </c>
      <c r="C1" s="2" t="s">
        <v>156</v>
      </c>
    </row>
    <row r="2" spans="1:3" x14ac:dyDescent="0.25">
      <c r="A2" s="1" t="s">
        <v>150</v>
      </c>
      <c r="B2" s="1" t="s">
        <v>151</v>
      </c>
      <c r="C2" s="1" t="s">
        <v>157</v>
      </c>
    </row>
    <row r="3" spans="1:3" x14ac:dyDescent="0.25">
      <c r="A3" s="1" t="s">
        <v>148</v>
      </c>
      <c r="B3" s="1" t="s">
        <v>149</v>
      </c>
      <c r="C3" s="1" t="s">
        <v>157</v>
      </c>
    </row>
    <row r="4" spans="1:3" x14ac:dyDescent="0.25">
      <c r="A4" s="1" t="s">
        <v>144</v>
      </c>
      <c r="B4" s="1" t="s">
        <v>145</v>
      </c>
      <c r="C4" s="1" t="s">
        <v>157</v>
      </c>
    </row>
    <row r="5" spans="1:3" x14ac:dyDescent="0.25">
      <c r="A5" s="1" t="s">
        <v>146</v>
      </c>
      <c r="B5" s="1" t="s">
        <v>147</v>
      </c>
      <c r="C5" s="1" t="s">
        <v>157</v>
      </c>
    </row>
    <row r="6" spans="1:3" x14ac:dyDescent="0.25">
      <c r="A6" s="1" t="s">
        <v>142</v>
      </c>
      <c r="B6" s="1" t="s">
        <v>143</v>
      </c>
      <c r="C6" s="1" t="s">
        <v>157</v>
      </c>
    </row>
    <row r="7" spans="1:3" x14ac:dyDescent="0.25">
      <c r="A7" s="1" t="s">
        <v>146</v>
      </c>
      <c r="B7" s="1" t="s">
        <v>147</v>
      </c>
      <c r="C7" s="1" t="s">
        <v>157</v>
      </c>
    </row>
    <row r="8" spans="1:3" x14ac:dyDescent="0.25">
      <c r="A8" s="1" t="s">
        <v>146</v>
      </c>
      <c r="B8" s="1" t="s">
        <v>167</v>
      </c>
      <c r="C8" s="1" t="s">
        <v>157</v>
      </c>
    </row>
    <row r="9" spans="1:3" x14ac:dyDescent="0.25">
      <c r="A9" s="1" t="s">
        <v>144</v>
      </c>
      <c r="B9" s="1" t="s">
        <v>145</v>
      </c>
      <c r="C9" s="1" t="s">
        <v>157</v>
      </c>
    </row>
    <row r="10" spans="1:3" x14ac:dyDescent="0.25">
      <c r="A10" s="1" t="s">
        <v>144</v>
      </c>
      <c r="B10" s="1" t="s">
        <v>168</v>
      </c>
      <c r="C10" s="1" t="s">
        <v>157</v>
      </c>
    </row>
    <row r="11" spans="1:3" x14ac:dyDescent="0.25">
      <c r="A11" s="1" t="s">
        <v>148</v>
      </c>
      <c r="B11" s="1" t="s">
        <v>149</v>
      </c>
      <c r="C11" s="1" t="s">
        <v>157</v>
      </c>
    </row>
    <row r="12" spans="1:3" x14ac:dyDescent="0.25">
      <c r="A12" s="1" t="s">
        <v>148</v>
      </c>
      <c r="B12" s="1" t="s">
        <v>169</v>
      </c>
      <c r="C12" s="1" t="s">
        <v>157</v>
      </c>
    </row>
    <row r="13" spans="1:3" x14ac:dyDescent="0.25">
      <c r="A13" s="1" t="s">
        <v>142</v>
      </c>
      <c r="B13" s="1" t="s">
        <v>143</v>
      </c>
      <c r="C13" s="1" t="s">
        <v>157</v>
      </c>
    </row>
    <row r="14" spans="1:3" x14ac:dyDescent="0.25">
      <c r="A14" s="1" t="s">
        <v>142</v>
      </c>
      <c r="B14" s="1" t="s">
        <v>170</v>
      </c>
      <c r="C14" s="1" t="s">
        <v>157</v>
      </c>
    </row>
    <row r="15" spans="1:3" x14ac:dyDescent="0.25">
      <c r="A15" s="1" t="s">
        <v>142</v>
      </c>
      <c r="B15" s="1" t="s">
        <v>164</v>
      </c>
      <c r="C15" s="1" t="s">
        <v>157</v>
      </c>
    </row>
    <row r="16" spans="1:3" x14ac:dyDescent="0.25">
      <c r="A16" s="1" t="s">
        <v>142</v>
      </c>
      <c r="B16" s="1" t="s">
        <v>171</v>
      </c>
      <c r="C16" s="1" t="s">
        <v>157</v>
      </c>
    </row>
    <row r="17" spans="1:3" x14ac:dyDescent="0.25">
      <c r="A17" t="s">
        <v>172</v>
      </c>
      <c r="B17" s="1" t="s">
        <v>162</v>
      </c>
      <c r="C17" s="1" t="s">
        <v>163</v>
      </c>
    </row>
    <row r="18" spans="1:3" x14ac:dyDescent="0.25">
      <c r="A18" s="1" t="s">
        <v>140</v>
      </c>
      <c r="B18" s="1" t="s">
        <v>141</v>
      </c>
      <c r="C18" s="1" t="s">
        <v>161</v>
      </c>
    </row>
    <row r="19" spans="1:3" x14ac:dyDescent="0.25">
      <c r="A19" s="1" t="s">
        <v>138</v>
      </c>
      <c r="B19" s="1" t="s">
        <v>139</v>
      </c>
      <c r="C19" s="1" t="s">
        <v>161</v>
      </c>
    </row>
    <row r="20" spans="1:3" x14ac:dyDescent="0.25">
      <c r="A20" s="1" t="s">
        <v>137</v>
      </c>
      <c r="B20" s="1" t="s">
        <v>131</v>
      </c>
      <c r="C20" s="1" t="s">
        <v>161</v>
      </c>
    </row>
    <row r="21" spans="1:3" x14ac:dyDescent="0.25">
      <c r="A21" s="1" t="s">
        <v>135</v>
      </c>
      <c r="B21" s="1" t="s">
        <v>136</v>
      </c>
      <c r="C21" s="1" t="s">
        <v>161</v>
      </c>
    </row>
    <row r="22" spans="1:3" x14ac:dyDescent="0.25">
      <c r="A22" s="1" t="s">
        <v>134</v>
      </c>
      <c r="B22" s="1" t="s">
        <v>131</v>
      </c>
      <c r="C22" s="1" t="s">
        <v>161</v>
      </c>
    </row>
    <row r="23" spans="1:3" x14ac:dyDescent="0.25">
      <c r="A23" s="1" t="s">
        <v>132</v>
      </c>
      <c r="B23" s="1" t="s">
        <v>133</v>
      </c>
      <c r="C23" s="1" t="s">
        <v>161</v>
      </c>
    </row>
    <row r="24" spans="1:3" x14ac:dyDescent="0.25">
      <c r="A24" s="1" t="s">
        <v>130</v>
      </c>
      <c r="B24" s="1" t="s">
        <v>131</v>
      </c>
      <c r="C24" s="1" t="s">
        <v>161</v>
      </c>
    </row>
    <row r="25" spans="1:3" x14ac:dyDescent="0.25">
      <c r="A25" s="1" t="s">
        <v>128</v>
      </c>
      <c r="B25" s="1" t="s">
        <v>129</v>
      </c>
      <c r="C25" s="1" t="s">
        <v>161</v>
      </c>
    </row>
    <row r="26" spans="1:3" x14ac:dyDescent="0.25">
      <c r="A26" s="1" t="s">
        <v>127</v>
      </c>
      <c r="B26" s="1" t="s">
        <v>118</v>
      </c>
      <c r="C26" s="1" t="s">
        <v>161</v>
      </c>
    </row>
    <row r="27" spans="1:3" x14ac:dyDescent="0.25">
      <c r="A27" s="1" t="s">
        <v>126</v>
      </c>
      <c r="B27" s="1" t="s">
        <v>118</v>
      </c>
      <c r="C27" s="1" t="s">
        <v>161</v>
      </c>
    </row>
    <row r="28" spans="1:3" x14ac:dyDescent="0.25">
      <c r="A28" s="1" t="s">
        <v>125</v>
      </c>
      <c r="B28" s="1" t="s">
        <v>118</v>
      </c>
      <c r="C28" s="1" t="s">
        <v>161</v>
      </c>
    </row>
    <row r="29" spans="1:3" x14ac:dyDescent="0.25">
      <c r="A29" s="1" t="s">
        <v>124</v>
      </c>
      <c r="B29" s="1" t="s">
        <v>118</v>
      </c>
      <c r="C29" s="1" t="s">
        <v>161</v>
      </c>
    </row>
    <row r="30" spans="1:3" x14ac:dyDescent="0.25">
      <c r="A30" s="1" t="s">
        <v>123</v>
      </c>
      <c r="B30" s="1" t="s">
        <v>118</v>
      </c>
      <c r="C30" s="1" t="s">
        <v>161</v>
      </c>
    </row>
    <row r="31" spans="1:3" x14ac:dyDescent="0.25">
      <c r="A31" s="1" t="s">
        <v>122</v>
      </c>
      <c r="B31" s="1" t="s">
        <v>118</v>
      </c>
      <c r="C31" s="1" t="s">
        <v>161</v>
      </c>
    </row>
    <row r="32" spans="1:3" x14ac:dyDescent="0.25">
      <c r="A32" s="1" t="s">
        <v>121</v>
      </c>
      <c r="B32" s="1" t="s">
        <v>118</v>
      </c>
      <c r="C32" s="1" t="s">
        <v>161</v>
      </c>
    </row>
    <row r="33" spans="1:3" x14ac:dyDescent="0.25">
      <c r="A33" s="1" t="s">
        <v>120</v>
      </c>
      <c r="B33" s="1" t="s">
        <v>118</v>
      </c>
      <c r="C33" s="1" t="s">
        <v>161</v>
      </c>
    </row>
    <row r="34" spans="1:3" x14ac:dyDescent="0.25">
      <c r="A34" s="1" t="s">
        <v>119</v>
      </c>
      <c r="B34" s="1" t="s">
        <v>118</v>
      </c>
      <c r="C34" s="1" t="s">
        <v>161</v>
      </c>
    </row>
    <row r="35" spans="1:3" x14ac:dyDescent="0.25">
      <c r="A35" s="1" t="s">
        <v>117</v>
      </c>
      <c r="B35" s="1" t="s">
        <v>118</v>
      </c>
      <c r="C35" s="1" t="s">
        <v>161</v>
      </c>
    </row>
    <row r="36" spans="1:3" x14ac:dyDescent="0.25">
      <c r="A36" s="1" t="s">
        <v>115</v>
      </c>
      <c r="B36" s="1" t="s">
        <v>116</v>
      </c>
      <c r="C36" s="1" t="s">
        <v>161</v>
      </c>
    </row>
    <row r="37" spans="1:3" x14ac:dyDescent="0.25">
      <c r="A37" s="1" t="s">
        <v>113</v>
      </c>
      <c r="B37" s="1" t="s">
        <v>114</v>
      </c>
      <c r="C37" s="1" t="s">
        <v>161</v>
      </c>
    </row>
    <row r="38" spans="1:3" x14ac:dyDescent="0.25">
      <c r="A38" s="1" t="s">
        <v>107</v>
      </c>
      <c r="B38" s="1" t="s">
        <v>108</v>
      </c>
      <c r="C38" s="1" t="s">
        <v>160</v>
      </c>
    </row>
    <row r="39" spans="1:3" x14ac:dyDescent="0.25">
      <c r="A39" s="1" t="s">
        <v>109</v>
      </c>
      <c r="B39" s="1" t="s">
        <v>110</v>
      </c>
      <c r="C39" s="1" t="s">
        <v>160</v>
      </c>
    </row>
    <row r="40" spans="1:3" x14ac:dyDescent="0.25">
      <c r="A40" s="1" t="s">
        <v>102</v>
      </c>
      <c r="B40" s="1" t="s">
        <v>103</v>
      </c>
      <c r="C40" s="1" t="s">
        <v>160</v>
      </c>
    </row>
    <row r="41" spans="1:3" x14ac:dyDescent="0.25">
      <c r="A41" s="1" t="s">
        <v>98</v>
      </c>
      <c r="B41" s="1" t="s">
        <v>99</v>
      </c>
      <c r="C41" s="1" t="s">
        <v>160</v>
      </c>
    </row>
    <row r="42" spans="1:3" x14ac:dyDescent="0.25">
      <c r="A42" s="1" t="s">
        <v>104</v>
      </c>
      <c r="B42" s="1" t="s">
        <v>105</v>
      </c>
      <c r="C42" s="1" t="s">
        <v>160</v>
      </c>
    </row>
    <row r="43" spans="1:3" x14ac:dyDescent="0.25">
      <c r="A43" s="1" t="s">
        <v>100</v>
      </c>
      <c r="B43" s="1" t="s">
        <v>101</v>
      </c>
      <c r="C43" s="1" t="s">
        <v>160</v>
      </c>
    </row>
    <row r="44" spans="1:3" x14ac:dyDescent="0.25">
      <c r="A44" s="1" t="s">
        <v>106</v>
      </c>
      <c r="B44" s="1" t="s">
        <v>105</v>
      </c>
      <c r="C44" s="1" t="s">
        <v>160</v>
      </c>
    </row>
    <row r="45" spans="1:3" x14ac:dyDescent="0.25">
      <c r="A45" s="1" t="s">
        <v>90</v>
      </c>
      <c r="B45" s="1" t="s">
        <v>91</v>
      </c>
      <c r="C45" s="1" t="s">
        <v>160</v>
      </c>
    </row>
    <row r="46" spans="1:3" x14ac:dyDescent="0.25">
      <c r="A46" s="1" t="s">
        <v>88</v>
      </c>
      <c r="B46" s="1" t="s">
        <v>89</v>
      </c>
      <c r="C46" s="1" t="s">
        <v>160</v>
      </c>
    </row>
    <row r="47" spans="1:3" x14ac:dyDescent="0.25">
      <c r="A47" s="1" t="s">
        <v>85</v>
      </c>
      <c r="B47" s="1" t="s">
        <v>84</v>
      </c>
      <c r="C47" s="1" t="s">
        <v>160</v>
      </c>
    </row>
    <row r="48" spans="1:3" x14ac:dyDescent="0.25">
      <c r="A48" s="1" t="s">
        <v>83</v>
      </c>
      <c r="B48" s="1" t="s">
        <v>84</v>
      </c>
      <c r="C48" s="1" t="s">
        <v>160</v>
      </c>
    </row>
    <row r="49" spans="1:3" x14ac:dyDescent="0.25">
      <c r="A49" s="1" t="s">
        <v>81</v>
      </c>
      <c r="B49" s="1" t="s">
        <v>82</v>
      </c>
      <c r="C49" s="1" t="s">
        <v>160</v>
      </c>
    </row>
    <row r="50" spans="1:3" x14ac:dyDescent="0.25">
      <c r="A50" s="1" t="s">
        <v>94</v>
      </c>
      <c r="B50" s="1" t="s">
        <v>93</v>
      </c>
      <c r="C50" s="1" t="s">
        <v>160</v>
      </c>
    </row>
    <row r="51" spans="1:3" x14ac:dyDescent="0.25">
      <c r="A51" s="1" t="s">
        <v>92</v>
      </c>
      <c r="B51" s="1" t="s">
        <v>93</v>
      </c>
      <c r="C51" s="1" t="s">
        <v>160</v>
      </c>
    </row>
    <row r="52" spans="1:3" x14ac:dyDescent="0.25">
      <c r="A52" s="1" t="s">
        <v>97</v>
      </c>
      <c r="B52" s="1" t="s">
        <v>96</v>
      </c>
      <c r="C52" s="1" t="s">
        <v>160</v>
      </c>
    </row>
    <row r="53" spans="1:3" x14ac:dyDescent="0.25">
      <c r="A53" s="1" t="s">
        <v>95</v>
      </c>
      <c r="B53" s="1" t="s">
        <v>96</v>
      </c>
      <c r="C53" s="1" t="s">
        <v>160</v>
      </c>
    </row>
    <row r="54" spans="1:3" x14ac:dyDescent="0.25">
      <c r="A54" s="1" t="s">
        <v>86</v>
      </c>
      <c r="B54" s="1" t="s">
        <v>87</v>
      </c>
      <c r="C54" s="1" t="s">
        <v>160</v>
      </c>
    </row>
    <row r="55" spans="1:3" x14ac:dyDescent="0.25">
      <c r="A55" s="1" t="s">
        <v>111</v>
      </c>
      <c r="B55" s="1" t="s">
        <v>112</v>
      </c>
      <c r="C55" s="1" t="s">
        <v>160</v>
      </c>
    </row>
    <row r="56" spans="1:3" x14ac:dyDescent="0.25">
      <c r="A56" s="1" t="s">
        <v>20</v>
      </c>
      <c r="B56" s="1" t="s">
        <v>21</v>
      </c>
      <c r="C56" s="1" t="s">
        <v>158</v>
      </c>
    </row>
    <row r="57" spans="1:3" x14ac:dyDescent="0.25">
      <c r="A57" s="1" t="s">
        <v>0</v>
      </c>
      <c r="B57" s="1" t="s">
        <v>1</v>
      </c>
      <c r="C57" s="1" t="s">
        <v>158</v>
      </c>
    </row>
    <row r="58" spans="1:3" x14ac:dyDescent="0.25">
      <c r="A58" s="1" t="s">
        <v>38</v>
      </c>
      <c r="B58" s="1" t="s">
        <v>1</v>
      </c>
      <c r="C58" s="1" t="s">
        <v>158</v>
      </c>
    </row>
    <row r="59" spans="1:3" x14ac:dyDescent="0.25">
      <c r="A59" s="1" t="s">
        <v>39</v>
      </c>
      <c r="B59" s="1" t="s">
        <v>25</v>
      </c>
      <c r="C59" s="1" t="s">
        <v>158</v>
      </c>
    </row>
    <row r="60" spans="1:3" x14ac:dyDescent="0.25">
      <c r="A60" s="1" t="s">
        <v>2</v>
      </c>
      <c r="B60" s="1" t="s">
        <v>3</v>
      </c>
      <c r="C60" s="1" t="s">
        <v>158</v>
      </c>
    </row>
    <row r="61" spans="1:3" x14ac:dyDescent="0.25">
      <c r="A61" s="1" t="s">
        <v>6</v>
      </c>
      <c r="B61" s="1" t="s">
        <v>7</v>
      </c>
      <c r="C61" s="1" t="s">
        <v>158</v>
      </c>
    </row>
    <row r="62" spans="1:3" x14ac:dyDescent="0.25">
      <c r="A62" s="1" t="s">
        <v>29</v>
      </c>
      <c r="B62" s="1" t="s">
        <v>25</v>
      </c>
      <c r="C62" s="1" t="s">
        <v>158</v>
      </c>
    </row>
    <row r="63" spans="1:3" x14ac:dyDescent="0.25">
      <c r="A63" s="1" t="s">
        <v>31</v>
      </c>
      <c r="B63" s="1" t="s">
        <v>25</v>
      </c>
      <c r="C63" s="1" t="s">
        <v>158</v>
      </c>
    </row>
    <row r="64" spans="1:3" x14ac:dyDescent="0.25">
      <c r="A64" s="1" t="s">
        <v>30</v>
      </c>
      <c r="B64" s="1" t="s">
        <v>25</v>
      </c>
      <c r="C64" s="1" t="s">
        <v>158</v>
      </c>
    </row>
    <row r="65" spans="1:3" x14ac:dyDescent="0.25">
      <c r="A65" s="1" t="s">
        <v>28</v>
      </c>
      <c r="B65" s="1" t="s">
        <v>25</v>
      </c>
      <c r="C65" s="1" t="s">
        <v>158</v>
      </c>
    </row>
    <row r="66" spans="1:3" x14ac:dyDescent="0.25">
      <c r="A66" s="1" t="s">
        <v>32</v>
      </c>
      <c r="B66" s="1" t="s">
        <v>25</v>
      </c>
      <c r="C66" s="1" t="s">
        <v>158</v>
      </c>
    </row>
    <row r="67" spans="1:3" x14ac:dyDescent="0.25">
      <c r="A67" s="1" t="s">
        <v>14</v>
      </c>
      <c r="B67" s="1" t="s">
        <v>15</v>
      </c>
      <c r="C67" s="1" t="s">
        <v>158</v>
      </c>
    </row>
    <row r="68" spans="1:3" x14ac:dyDescent="0.25">
      <c r="A68" s="1" t="s">
        <v>16</v>
      </c>
      <c r="B68" s="1" t="s">
        <v>17</v>
      </c>
      <c r="C68" s="1" t="s">
        <v>158</v>
      </c>
    </row>
    <row r="69" spans="1:3" x14ac:dyDescent="0.25">
      <c r="A69" s="1" t="s">
        <v>12</v>
      </c>
      <c r="B69" s="1" t="s">
        <v>13</v>
      </c>
      <c r="C69" s="1" t="s">
        <v>158</v>
      </c>
    </row>
    <row r="70" spans="1:3" x14ac:dyDescent="0.25">
      <c r="A70" s="1" t="s">
        <v>8</v>
      </c>
      <c r="B70" s="1" t="s">
        <v>9</v>
      </c>
      <c r="C70" s="1" t="s">
        <v>158</v>
      </c>
    </row>
    <row r="71" spans="1:3" x14ac:dyDescent="0.25">
      <c r="A71" s="1" t="s">
        <v>33</v>
      </c>
      <c r="B71" s="1" t="s">
        <v>9</v>
      </c>
      <c r="C71" s="1" t="s">
        <v>158</v>
      </c>
    </row>
    <row r="72" spans="1:3" x14ac:dyDescent="0.25">
      <c r="A72" s="1" t="s">
        <v>36</v>
      </c>
      <c r="B72" s="1" t="s">
        <v>37</v>
      </c>
      <c r="C72" s="1" t="s">
        <v>158</v>
      </c>
    </row>
    <row r="73" spans="1:3" x14ac:dyDescent="0.25">
      <c r="A73" s="1" t="s">
        <v>35</v>
      </c>
      <c r="B73" s="1" t="s">
        <v>17</v>
      </c>
      <c r="C73" s="1" t="s">
        <v>158</v>
      </c>
    </row>
    <row r="74" spans="1:3" x14ac:dyDescent="0.25">
      <c r="A74" s="1" t="s">
        <v>41</v>
      </c>
      <c r="B74" s="1" t="s">
        <v>11</v>
      </c>
      <c r="C74" s="1" t="s">
        <v>158</v>
      </c>
    </row>
    <row r="75" spans="1:3" x14ac:dyDescent="0.25">
      <c r="A75" s="1" t="s">
        <v>10</v>
      </c>
      <c r="B75" s="1" t="s">
        <v>11</v>
      </c>
      <c r="C75" s="1" t="s">
        <v>158</v>
      </c>
    </row>
    <row r="76" spans="1:3" x14ac:dyDescent="0.25">
      <c r="A76" s="1" t="s">
        <v>34</v>
      </c>
      <c r="B76" s="1" t="s">
        <v>11</v>
      </c>
      <c r="C76" s="1" t="s">
        <v>158</v>
      </c>
    </row>
    <row r="77" spans="1:3" x14ac:dyDescent="0.25">
      <c r="A77" s="1" t="s">
        <v>24</v>
      </c>
      <c r="B77" s="1" t="s">
        <v>25</v>
      </c>
      <c r="C77" s="1" t="s">
        <v>158</v>
      </c>
    </row>
    <row r="78" spans="1:3" x14ac:dyDescent="0.25">
      <c r="A78" s="1" t="s">
        <v>4</v>
      </c>
      <c r="B78" s="1" t="s">
        <v>5</v>
      </c>
      <c r="C78" s="1" t="s">
        <v>158</v>
      </c>
    </row>
    <row r="79" spans="1:3" x14ac:dyDescent="0.25">
      <c r="A79" s="1" t="s">
        <v>22</v>
      </c>
      <c r="B79" s="1" t="s">
        <v>23</v>
      </c>
      <c r="C79" s="1" t="s">
        <v>158</v>
      </c>
    </row>
    <row r="80" spans="1:3" x14ac:dyDescent="0.25">
      <c r="A80" s="1" t="s">
        <v>18</v>
      </c>
      <c r="B80" s="1" t="s">
        <v>19</v>
      </c>
      <c r="C80" s="1" t="s">
        <v>158</v>
      </c>
    </row>
    <row r="81" spans="1:3" x14ac:dyDescent="0.25">
      <c r="A81" s="1" t="s">
        <v>26</v>
      </c>
      <c r="B81" s="1" t="s">
        <v>27</v>
      </c>
      <c r="C81" s="1" t="s">
        <v>158</v>
      </c>
    </row>
    <row r="82" spans="1:3" x14ac:dyDescent="0.25">
      <c r="A82" s="1" t="s">
        <v>40</v>
      </c>
      <c r="B82" s="1" t="s">
        <v>165</v>
      </c>
      <c r="C82" s="1" t="s">
        <v>158</v>
      </c>
    </row>
    <row r="83" spans="1:3" x14ac:dyDescent="0.25">
      <c r="A83" s="1" t="s">
        <v>154</v>
      </c>
      <c r="B83" s="1" t="s">
        <v>155</v>
      </c>
      <c r="C83" s="1" t="s">
        <v>158</v>
      </c>
    </row>
    <row r="84" spans="1:3" x14ac:dyDescent="0.25">
      <c r="A84" s="1" t="s">
        <v>79</v>
      </c>
      <c r="B84" s="1" t="s">
        <v>80</v>
      </c>
      <c r="C84" s="1" t="s">
        <v>159</v>
      </c>
    </row>
    <row r="85" spans="1:3" x14ac:dyDescent="0.25">
      <c r="A85" s="1" t="s">
        <v>77</v>
      </c>
      <c r="B85" s="1" t="s">
        <v>78</v>
      </c>
      <c r="C85" s="1" t="s">
        <v>159</v>
      </c>
    </row>
    <row r="86" spans="1:3" x14ac:dyDescent="0.25">
      <c r="A86" s="1" t="s">
        <v>75</v>
      </c>
      <c r="B86" s="1" t="s">
        <v>76</v>
      </c>
      <c r="C86" s="1" t="s">
        <v>159</v>
      </c>
    </row>
    <row r="87" spans="1:3" x14ac:dyDescent="0.25">
      <c r="A87" s="1" t="s">
        <v>74</v>
      </c>
      <c r="B87" s="1" t="s">
        <v>56</v>
      </c>
      <c r="C87" s="1" t="s">
        <v>159</v>
      </c>
    </row>
    <row r="88" spans="1:3" x14ac:dyDescent="0.25">
      <c r="A88" s="1" t="s">
        <v>72</v>
      </c>
      <c r="B88" s="1" t="s">
        <v>73</v>
      </c>
      <c r="C88" s="1" t="s">
        <v>159</v>
      </c>
    </row>
    <row r="89" spans="1:3" x14ac:dyDescent="0.25">
      <c r="A89" s="1" t="s">
        <v>70</v>
      </c>
      <c r="B89" s="1" t="s">
        <v>71</v>
      </c>
      <c r="C89" s="1" t="s">
        <v>159</v>
      </c>
    </row>
    <row r="90" spans="1:3" x14ac:dyDescent="0.25">
      <c r="A90" s="1" t="s">
        <v>68</v>
      </c>
      <c r="B90" s="1" t="s">
        <v>69</v>
      </c>
      <c r="C90" s="1" t="s">
        <v>159</v>
      </c>
    </row>
    <row r="91" spans="1:3" x14ac:dyDescent="0.25">
      <c r="A91" s="1" t="s">
        <v>66</v>
      </c>
      <c r="B91" s="1" t="s">
        <v>67</v>
      </c>
      <c r="C91" s="1" t="s">
        <v>159</v>
      </c>
    </row>
    <row r="92" spans="1:3" x14ac:dyDescent="0.25">
      <c r="A92" s="1" t="s">
        <v>64</v>
      </c>
      <c r="B92" s="1" t="s">
        <v>65</v>
      </c>
      <c r="C92" s="1" t="s">
        <v>159</v>
      </c>
    </row>
    <row r="93" spans="1:3" x14ac:dyDescent="0.25">
      <c r="A93" s="1" t="s">
        <v>62</v>
      </c>
      <c r="B93" s="1" t="s">
        <v>63</v>
      </c>
      <c r="C93" s="1" t="s">
        <v>159</v>
      </c>
    </row>
    <row r="94" spans="1:3" x14ac:dyDescent="0.25">
      <c r="A94" s="1" t="s">
        <v>60</v>
      </c>
      <c r="B94" s="1" t="s">
        <v>61</v>
      </c>
      <c r="C94" s="1" t="s">
        <v>159</v>
      </c>
    </row>
    <row r="95" spans="1:3" x14ac:dyDescent="0.25">
      <c r="A95" s="1" t="s">
        <v>59</v>
      </c>
      <c r="B95" s="1" t="s">
        <v>58</v>
      </c>
      <c r="C95" s="1" t="s">
        <v>159</v>
      </c>
    </row>
    <row r="96" spans="1:3" x14ac:dyDescent="0.25">
      <c r="A96" s="1" t="s">
        <v>57</v>
      </c>
      <c r="B96" s="1" t="s">
        <v>58</v>
      </c>
      <c r="C96" s="1" t="s">
        <v>159</v>
      </c>
    </row>
    <row r="97" spans="1:3" x14ac:dyDescent="0.25">
      <c r="A97" s="1" t="s">
        <v>55</v>
      </c>
      <c r="B97" s="1" t="s">
        <v>56</v>
      </c>
      <c r="C97" s="1" t="s">
        <v>159</v>
      </c>
    </row>
    <row r="98" spans="1:3" x14ac:dyDescent="0.25">
      <c r="A98" s="1" t="s">
        <v>53</v>
      </c>
      <c r="B98" s="1" t="s">
        <v>54</v>
      </c>
      <c r="C98" s="1" t="s">
        <v>159</v>
      </c>
    </row>
    <row r="99" spans="1:3" x14ac:dyDescent="0.25">
      <c r="A99" s="1" t="s">
        <v>52</v>
      </c>
      <c r="B99" s="3" t="s">
        <v>166</v>
      </c>
      <c r="C99" s="1" t="s">
        <v>159</v>
      </c>
    </row>
    <row r="100" spans="1:3" x14ac:dyDescent="0.25">
      <c r="A100" s="1" t="s">
        <v>50</v>
      </c>
      <c r="B100" s="1" t="s">
        <v>51</v>
      </c>
      <c r="C100" s="1" t="s">
        <v>159</v>
      </c>
    </row>
    <row r="101" spans="1:3" x14ac:dyDescent="0.25">
      <c r="A101" s="1" t="s">
        <v>48</v>
      </c>
      <c r="B101" s="1" t="s">
        <v>49</v>
      </c>
      <c r="C101" s="1" t="s">
        <v>159</v>
      </c>
    </row>
    <row r="102" spans="1:3" x14ac:dyDescent="0.25">
      <c r="A102" s="1" t="s">
        <v>46</v>
      </c>
      <c r="B102" s="1" t="s">
        <v>47</v>
      </c>
      <c r="C102" s="1" t="s">
        <v>159</v>
      </c>
    </row>
    <row r="103" spans="1:3" x14ac:dyDescent="0.25">
      <c r="A103" s="1" t="s">
        <v>44</v>
      </c>
      <c r="B103" s="1" t="s">
        <v>45</v>
      </c>
      <c r="C103" s="1" t="s">
        <v>159</v>
      </c>
    </row>
    <row r="104" spans="1:3" x14ac:dyDescent="0.25">
      <c r="A104" s="1" t="s">
        <v>42</v>
      </c>
      <c r="B104" s="1" t="s">
        <v>43</v>
      </c>
      <c r="C104" s="1" t="s">
        <v>159</v>
      </c>
    </row>
  </sheetData>
  <autoFilter ref="A1:C1" xr:uid="{6D1A73D0-2815-4A2D-9523-7F8CC520349F}"/>
  <sortState xmlns:xlrd2="http://schemas.microsoft.com/office/spreadsheetml/2017/richdata2" ref="A2:C105">
    <sortCondition ref="C2:C1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2C647-8C07-47CB-83FA-6169F805B110}">
  <dimension ref="A1:G26"/>
  <sheetViews>
    <sheetView tabSelected="1" topLeftCell="A14" workbookViewId="0">
      <selection activeCell="C15" sqref="C15"/>
    </sheetView>
  </sheetViews>
  <sheetFormatPr baseColWidth="10" defaultRowHeight="15" x14ac:dyDescent="0.25"/>
  <cols>
    <col min="1" max="2" width="24.5703125" bestFit="1" customWidth="1"/>
    <col min="3" max="3" width="59.85546875" bestFit="1" customWidth="1"/>
    <col min="4" max="4" width="12.7109375" customWidth="1"/>
    <col min="5" max="5" width="21.5703125" customWidth="1"/>
    <col min="6" max="6" width="18.28515625" bestFit="1" customWidth="1"/>
    <col min="7" max="7" width="18.7109375" customWidth="1"/>
  </cols>
  <sheetData>
    <row r="1" spans="1:7" x14ac:dyDescent="0.25">
      <c r="A1" t="s">
        <v>173</v>
      </c>
      <c r="B1" s="4">
        <v>3678639</v>
      </c>
    </row>
    <row r="2" spans="1:7" x14ac:dyDescent="0.25">
      <c r="A2" t="s">
        <v>174</v>
      </c>
      <c r="B2" s="4"/>
    </row>
    <row r="4" spans="1:7" s="5" customFormat="1" x14ac:dyDescent="0.25">
      <c r="C4" s="7" t="s">
        <v>184</v>
      </c>
      <c r="D4" s="7"/>
      <c r="E4" s="7"/>
      <c r="F4"/>
    </row>
    <row r="5" spans="1:7" s="5" customFormat="1" x14ac:dyDescent="0.25">
      <c r="C5" s="8"/>
      <c r="D5" s="8"/>
      <c r="E5" s="8"/>
      <c r="F5"/>
    </row>
    <row r="6" spans="1:7" s="5" customFormat="1" x14ac:dyDescent="0.25">
      <c r="B6" s="5" t="s">
        <v>149</v>
      </c>
      <c r="C6" s="5" t="s">
        <v>188</v>
      </c>
      <c r="D6" s="8"/>
      <c r="E6" s="6">
        <f>1.78%*$B$1</f>
        <v>65479.7742</v>
      </c>
      <c r="F6"/>
    </row>
    <row r="7" spans="1:7" x14ac:dyDescent="0.25">
      <c r="A7" s="5" t="s">
        <v>186</v>
      </c>
      <c r="B7" t="s">
        <v>145</v>
      </c>
      <c r="C7" s="5" t="s">
        <v>187</v>
      </c>
      <c r="E7" s="6">
        <f>0.93%*$B$1</f>
        <v>34211.342700000001</v>
      </c>
      <c r="G7" s="5"/>
    </row>
    <row r="8" spans="1:7" x14ac:dyDescent="0.25">
      <c r="A8" s="5" t="s">
        <v>175</v>
      </c>
      <c r="B8" s="5" t="s">
        <v>147</v>
      </c>
      <c r="C8" s="5" t="s">
        <v>193</v>
      </c>
      <c r="D8" s="5">
        <v>0</v>
      </c>
      <c r="E8" s="6">
        <f>2%*$B$1</f>
        <v>73572.78</v>
      </c>
      <c r="G8" s="5"/>
    </row>
    <row r="9" spans="1:7" x14ac:dyDescent="0.25">
      <c r="A9" s="5" t="s">
        <v>176</v>
      </c>
      <c r="B9" s="5" t="s">
        <v>177</v>
      </c>
      <c r="C9" s="5" t="s">
        <v>197</v>
      </c>
      <c r="D9" s="5">
        <v>0</v>
      </c>
      <c r="E9" s="6">
        <f>0.1%*$B$1</f>
        <v>3678.6390000000001</v>
      </c>
      <c r="G9" s="5"/>
    </row>
    <row r="10" spans="1:7" x14ac:dyDescent="0.25">
      <c r="A10" s="5" t="s">
        <v>178</v>
      </c>
      <c r="B10" s="5" t="s">
        <v>179</v>
      </c>
      <c r="C10" s="5" t="s">
        <v>189</v>
      </c>
      <c r="D10" s="5">
        <v>0</v>
      </c>
      <c r="E10" s="6">
        <f>0.72%*$B$1</f>
        <v>26486.200799999999</v>
      </c>
      <c r="G10" s="5"/>
    </row>
    <row r="11" spans="1:7" x14ac:dyDescent="0.25">
      <c r="A11" s="5" t="s">
        <v>180</v>
      </c>
      <c r="B11" s="5" t="s">
        <v>181</v>
      </c>
      <c r="C11" s="5" t="s">
        <v>190</v>
      </c>
      <c r="D11" s="5">
        <v>0</v>
      </c>
      <c r="E11" s="6">
        <f>0.9%*$B$1</f>
        <v>33107.751000000004</v>
      </c>
      <c r="G11" s="5"/>
    </row>
    <row r="12" spans="1:7" x14ac:dyDescent="0.25">
      <c r="A12" s="5" t="s">
        <v>182</v>
      </c>
      <c r="B12" s="5" t="s">
        <v>143</v>
      </c>
      <c r="C12" s="5" t="s">
        <v>191</v>
      </c>
      <c r="D12" s="5">
        <v>0</v>
      </c>
      <c r="E12" s="6">
        <f>1.6%*$B$1</f>
        <v>58858.224000000002</v>
      </c>
      <c r="G12" s="5"/>
    </row>
    <row r="13" spans="1:7" x14ac:dyDescent="0.25">
      <c r="A13" s="5" t="s">
        <v>183</v>
      </c>
      <c r="B13" s="5" t="s">
        <v>164</v>
      </c>
      <c r="C13" s="5" t="s">
        <v>192</v>
      </c>
      <c r="D13" s="5">
        <v>0</v>
      </c>
      <c r="E13" s="6">
        <f>0.8%*$B$1</f>
        <v>29429.112000000001</v>
      </c>
      <c r="G13" s="5"/>
    </row>
    <row r="16" spans="1:7" x14ac:dyDescent="0.25">
      <c r="C16" s="7" t="s">
        <v>185</v>
      </c>
      <c r="D16" s="7"/>
      <c r="E16" s="7"/>
    </row>
    <row r="18" spans="1:7" x14ac:dyDescent="0.25">
      <c r="A18" s="5" t="s">
        <v>196</v>
      </c>
      <c r="B18" s="5" t="s">
        <v>149</v>
      </c>
      <c r="C18" s="5" t="s">
        <v>188</v>
      </c>
      <c r="D18" s="5"/>
      <c r="E18" s="6">
        <f>1.78%*$B$1</f>
        <v>65479.7742</v>
      </c>
      <c r="G18" s="5"/>
    </row>
    <row r="19" spans="1:7" x14ac:dyDescent="0.25">
      <c r="A19" s="5" t="s">
        <v>186</v>
      </c>
      <c r="B19" s="5" t="s">
        <v>145</v>
      </c>
      <c r="C19" s="5" t="s">
        <v>187</v>
      </c>
      <c r="D19" s="5"/>
      <c r="E19" s="6">
        <f>0.93%*$B$1</f>
        <v>34211.342700000001</v>
      </c>
      <c r="G19" s="5"/>
    </row>
    <row r="20" spans="1:7" x14ac:dyDescent="0.25">
      <c r="A20" s="5" t="s">
        <v>175</v>
      </c>
      <c r="B20" s="5" t="s">
        <v>147</v>
      </c>
      <c r="C20" s="5" t="s">
        <v>193</v>
      </c>
      <c r="D20" s="8"/>
      <c r="E20" s="6">
        <f>2%*$B$1</f>
        <v>73572.78</v>
      </c>
      <c r="G20" s="5"/>
    </row>
    <row r="21" spans="1:7" x14ac:dyDescent="0.25">
      <c r="A21" s="5" t="s">
        <v>176</v>
      </c>
      <c r="C21" s="5" t="s">
        <v>197</v>
      </c>
      <c r="D21" s="5"/>
      <c r="E21" s="6">
        <f>0.1%*$B$1</f>
        <v>3678.6390000000001</v>
      </c>
      <c r="G21" s="5"/>
    </row>
    <row r="22" spans="1:7" x14ac:dyDescent="0.25">
      <c r="A22" s="5" t="s">
        <v>178</v>
      </c>
      <c r="C22" s="5" t="s">
        <v>189</v>
      </c>
      <c r="D22" s="5"/>
      <c r="E22" s="6">
        <f>0.72%*$B$1</f>
        <v>26486.200799999999</v>
      </c>
      <c r="G22" s="5"/>
    </row>
    <row r="23" spans="1:7" x14ac:dyDescent="0.25">
      <c r="A23" s="5" t="s">
        <v>180</v>
      </c>
      <c r="B23" s="5" t="s">
        <v>181</v>
      </c>
      <c r="C23" s="5" t="s">
        <v>190</v>
      </c>
      <c r="D23" s="5"/>
      <c r="E23" s="6">
        <f>0.9%*$B$1</f>
        <v>33107.751000000004</v>
      </c>
      <c r="G23" s="5"/>
    </row>
    <row r="24" spans="1:7" x14ac:dyDescent="0.25">
      <c r="A24" s="5" t="s">
        <v>182</v>
      </c>
      <c r="B24" s="5" t="s">
        <v>143</v>
      </c>
      <c r="C24" s="5" t="s">
        <v>191</v>
      </c>
      <c r="D24" s="5"/>
      <c r="E24" s="6">
        <f>1.6%*$B$1</f>
        <v>58858.224000000002</v>
      </c>
      <c r="G24" s="5"/>
    </row>
    <row r="25" spans="1:7" x14ac:dyDescent="0.25">
      <c r="A25" s="5" t="s">
        <v>183</v>
      </c>
      <c r="B25" s="5" t="s">
        <v>164</v>
      </c>
      <c r="C25" s="5" t="s">
        <v>192</v>
      </c>
      <c r="D25" s="5"/>
      <c r="E25" s="6">
        <f t="shared" ref="E25" si="0">0.8%*$B$1</f>
        <v>29429.112000000001</v>
      </c>
      <c r="G25" s="5"/>
    </row>
    <row r="26" spans="1:7" x14ac:dyDescent="0.25">
      <c r="A26" s="5" t="s">
        <v>195</v>
      </c>
      <c r="B26" t="s">
        <v>198</v>
      </c>
      <c r="C26" s="5" t="s">
        <v>194</v>
      </c>
      <c r="D26" s="5"/>
      <c r="E26" s="6">
        <f>4.2%*$B$1</f>
        <v>154502.83800000002</v>
      </c>
      <c r="G26" s="5"/>
    </row>
  </sheetData>
  <mergeCells count="2">
    <mergeCell ref="C4:E4"/>
    <mergeCell ref="C16: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Sandro Cornejo</dc:creator>
  <cp:lastModifiedBy>Sandro Cornejo</cp:lastModifiedBy>
  <dcterms:created xsi:type="dcterms:W3CDTF">2026-06-04T15:44:17Z</dcterms:created>
  <dcterms:modified xsi:type="dcterms:W3CDTF">2026-08-25T15:24:16Z</dcterms:modified>
</cp:coreProperties>
</file>