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Ia\rex-tools-hub\data\"/>
    </mc:Choice>
  </mc:AlternateContent>
  <xr:revisionPtr revIDLastSave="0" documentId="8_{FEB1B831-7378-4259-8DE9-999EA2AE2E84}" xr6:coauthVersionLast="47" xr6:coauthVersionMax="47" xr10:uidLastSave="{00000000-0000-0000-0000-000000000000}"/>
  <bookViews>
    <workbookView xWindow="-120" yWindow="-120" windowWidth="20730" windowHeight="11040" xr2:uid="{4C61D130-B55A-40EB-8581-4AF412B8D4BF}"/>
  </bookViews>
  <sheets>
    <sheet name="Hoja1" sheetId="2" r:id="rId1"/>
  </sheets>
  <definedNames>
    <definedName name="_xlnm._FilterDatabase" localSheetId="0" hidden="1">Hoja1!$A$1:$U$140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4" i="2" l="1"/>
  <c r="P135" i="2"/>
  <c r="P136" i="2"/>
  <c r="P137" i="2"/>
  <c r="P138" i="2"/>
  <c r="P139" i="2"/>
  <c r="P140" i="2"/>
  <c r="L134" i="2"/>
  <c r="L135" i="2"/>
  <c r="L136" i="2"/>
  <c r="L137" i="2"/>
  <c r="L138" i="2"/>
  <c r="L139" i="2"/>
  <c r="L140" i="2"/>
  <c r="H134" i="2"/>
  <c r="I134" i="2"/>
  <c r="J134" i="2" s="1"/>
  <c r="H135" i="2"/>
  <c r="I135" i="2"/>
  <c r="J135" i="2" s="1"/>
  <c r="H136" i="2"/>
  <c r="I136" i="2"/>
  <c r="J136" i="2" s="1"/>
  <c r="H137" i="2"/>
  <c r="I137" i="2"/>
  <c r="J137" i="2" s="1"/>
  <c r="H138" i="2"/>
  <c r="I138" i="2"/>
  <c r="J138" i="2" s="1"/>
  <c r="H139" i="2"/>
  <c r="I139" i="2"/>
  <c r="J139" i="2" s="1"/>
  <c r="H140" i="2"/>
  <c r="I140" i="2"/>
  <c r="J140" i="2" s="1"/>
  <c r="D134" i="2"/>
  <c r="F134" i="2"/>
  <c r="D135" i="2"/>
  <c r="F135" i="2"/>
  <c r="D136" i="2"/>
  <c r="F136" i="2"/>
  <c r="D137" i="2"/>
  <c r="F137" i="2"/>
  <c r="D138" i="2"/>
  <c r="F138" i="2"/>
  <c r="D139" i="2"/>
  <c r="F139" i="2"/>
  <c r="D140" i="2"/>
  <c r="F140" i="2"/>
  <c r="U134" i="2"/>
  <c r="U135" i="2"/>
  <c r="U136" i="2"/>
  <c r="U137" i="2"/>
  <c r="U138" i="2"/>
  <c r="U139" i="2"/>
  <c r="U140" i="2"/>
  <c r="Q135" i="2"/>
  <c r="Q136" i="2"/>
  <c r="Q137" i="2"/>
  <c r="Q138" i="2"/>
  <c r="Q139" i="2"/>
  <c r="Q140" i="2"/>
  <c r="Q134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17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D122" i="2"/>
  <c r="F122" i="2"/>
  <c r="H122" i="2"/>
  <c r="I122" i="2"/>
  <c r="J122" i="2" s="1"/>
  <c r="L122" i="2"/>
  <c r="D123" i="2"/>
  <c r="F123" i="2"/>
  <c r="H123" i="2"/>
  <c r="I123" i="2"/>
  <c r="J123" i="2" s="1"/>
  <c r="L123" i="2"/>
  <c r="D124" i="2"/>
  <c r="F124" i="2"/>
  <c r="H124" i="2"/>
  <c r="I124" i="2"/>
  <c r="J124" i="2" s="1"/>
  <c r="L124" i="2"/>
  <c r="D125" i="2"/>
  <c r="F125" i="2"/>
  <c r="H125" i="2"/>
  <c r="I125" i="2"/>
  <c r="J125" i="2" s="1"/>
  <c r="L125" i="2"/>
  <c r="D126" i="2"/>
  <c r="F126" i="2"/>
  <c r="H126" i="2"/>
  <c r="I126" i="2"/>
  <c r="J126" i="2" s="1"/>
  <c r="L126" i="2"/>
  <c r="D127" i="2"/>
  <c r="F127" i="2"/>
  <c r="H127" i="2"/>
  <c r="I127" i="2"/>
  <c r="J127" i="2" s="1"/>
  <c r="L127" i="2"/>
  <c r="D128" i="2"/>
  <c r="F128" i="2"/>
  <c r="H128" i="2"/>
  <c r="I128" i="2"/>
  <c r="J128" i="2" s="1"/>
  <c r="L128" i="2"/>
  <c r="D129" i="2"/>
  <c r="F129" i="2"/>
  <c r="H129" i="2"/>
  <c r="I129" i="2"/>
  <c r="J129" i="2" s="1"/>
  <c r="L129" i="2"/>
  <c r="D130" i="2"/>
  <c r="F130" i="2"/>
  <c r="H130" i="2"/>
  <c r="I130" i="2"/>
  <c r="J130" i="2" s="1"/>
  <c r="L130" i="2"/>
  <c r="D131" i="2"/>
  <c r="F131" i="2"/>
  <c r="H131" i="2"/>
  <c r="I131" i="2"/>
  <c r="J131" i="2" s="1"/>
  <c r="L131" i="2"/>
  <c r="D132" i="2"/>
  <c r="F132" i="2"/>
  <c r="H132" i="2"/>
  <c r="I132" i="2"/>
  <c r="J132" i="2" s="1"/>
  <c r="L132" i="2"/>
  <c r="D133" i="2"/>
  <c r="F133" i="2"/>
  <c r="H133" i="2"/>
  <c r="I133" i="2"/>
  <c r="J133" i="2" s="1"/>
  <c r="L13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2" i="2"/>
  <c r="P116" i="2"/>
  <c r="P115" i="2"/>
  <c r="P114" i="2"/>
  <c r="L114" i="2"/>
  <c r="L115" i="2"/>
  <c r="L116" i="2"/>
  <c r="L117" i="2"/>
  <c r="L118" i="2"/>
  <c r="L119" i="2"/>
  <c r="L120" i="2"/>
  <c r="L121" i="2"/>
  <c r="H114" i="2"/>
  <c r="I114" i="2"/>
  <c r="J114" i="2" s="1"/>
  <c r="H115" i="2"/>
  <c r="I115" i="2"/>
  <c r="J115" i="2" s="1"/>
  <c r="H116" i="2"/>
  <c r="I116" i="2"/>
  <c r="J116" i="2" s="1"/>
  <c r="H117" i="2"/>
  <c r="I117" i="2"/>
  <c r="J117" i="2" s="1"/>
  <c r="H118" i="2"/>
  <c r="I118" i="2"/>
  <c r="J118" i="2" s="1"/>
  <c r="H119" i="2"/>
  <c r="I119" i="2"/>
  <c r="J119" i="2" s="1"/>
  <c r="H120" i="2"/>
  <c r="I120" i="2"/>
  <c r="J120" i="2" s="1"/>
  <c r="H121" i="2"/>
  <c r="I121" i="2"/>
  <c r="J121" i="2" s="1"/>
  <c r="F114" i="2"/>
  <c r="F115" i="2"/>
  <c r="F116" i="2"/>
  <c r="F117" i="2"/>
  <c r="F118" i="2"/>
  <c r="F119" i="2"/>
  <c r="F120" i="2"/>
  <c r="F121" i="2"/>
  <c r="D114" i="2"/>
  <c r="D115" i="2"/>
  <c r="D116" i="2"/>
  <c r="D117" i="2"/>
  <c r="D118" i="2"/>
  <c r="D119" i="2"/>
  <c r="D120" i="2"/>
  <c r="D121" i="2"/>
  <c r="P113" i="2"/>
  <c r="L113" i="2"/>
  <c r="I113" i="2"/>
  <c r="J113" i="2" s="1"/>
  <c r="H113" i="2"/>
  <c r="F113" i="2"/>
  <c r="D113" i="2"/>
  <c r="P112" i="2"/>
  <c r="L112" i="2"/>
  <c r="I112" i="2"/>
  <c r="J112" i="2" s="1"/>
  <c r="H112" i="2"/>
  <c r="F112" i="2"/>
  <c r="D112" i="2"/>
  <c r="P111" i="2"/>
  <c r="L111" i="2"/>
  <c r="I111" i="2"/>
  <c r="J111" i="2" s="1"/>
  <c r="H111" i="2"/>
  <c r="F111" i="2"/>
  <c r="D111" i="2"/>
  <c r="P110" i="2"/>
  <c r="L110" i="2"/>
  <c r="I110" i="2"/>
  <c r="J110" i="2" s="1"/>
  <c r="H110" i="2"/>
  <c r="F110" i="2"/>
  <c r="D110" i="2"/>
  <c r="P109" i="2"/>
  <c r="L109" i="2"/>
  <c r="I109" i="2"/>
  <c r="J109" i="2" s="1"/>
  <c r="H109" i="2"/>
  <c r="F109" i="2"/>
  <c r="D109" i="2"/>
  <c r="P108" i="2"/>
  <c r="L108" i="2"/>
  <c r="I108" i="2"/>
  <c r="J108" i="2" s="1"/>
  <c r="H108" i="2"/>
  <c r="F108" i="2"/>
  <c r="D108" i="2"/>
  <c r="P107" i="2"/>
  <c r="L107" i="2"/>
  <c r="I107" i="2"/>
  <c r="J107" i="2" s="1"/>
  <c r="H107" i="2"/>
  <c r="F107" i="2"/>
  <c r="D107" i="2"/>
  <c r="P106" i="2"/>
  <c r="L106" i="2"/>
  <c r="I106" i="2"/>
  <c r="J106" i="2" s="1"/>
  <c r="H106" i="2"/>
  <c r="F106" i="2"/>
  <c r="D106" i="2"/>
  <c r="P105" i="2"/>
  <c r="L105" i="2"/>
  <c r="I105" i="2"/>
  <c r="J105" i="2" s="1"/>
  <c r="H105" i="2"/>
  <c r="F105" i="2"/>
  <c r="D105" i="2"/>
  <c r="P104" i="2"/>
  <c r="L104" i="2"/>
  <c r="I104" i="2"/>
  <c r="J104" i="2" s="1"/>
  <c r="H104" i="2"/>
  <c r="F104" i="2"/>
  <c r="D104" i="2"/>
  <c r="P103" i="2"/>
  <c r="L103" i="2"/>
  <c r="I103" i="2"/>
  <c r="J103" i="2" s="1"/>
  <c r="H103" i="2"/>
  <c r="F103" i="2"/>
  <c r="D103" i="2"/>
  <c r="P102" i="2"/>
  <c r="L102" i="2"/>
  <c r="I102" i="2"/>
  <c r="J102" i="2" s="1"/>
  <c r="H102" i="2"/>
  <c r="F102" i="2"/>
  <c r="D102" i="2"/>
  <c r="P101" i="2"/>
  <c r="L101" i="2"/>
  <c r="I101" i="2"/>
  <c r="J101" i="2" s="1"/>
  <c r="H101" i="2"/>
  <c r="F101" i="2"/>
  <c r="D101" i="2"/>
  <c r="P100" i="2"/>
  <c r="L100" i="2"/>
  <c r="I100" i="2"/>
  <c r="J100" i="2" s="1"/>
  <c r="H100" i="2"/>
  <c r="F100" i="2"/>
  <c r="D100" i="2"/>
  <c r="P99" i="2"/>
  <c r="L99" i="2"/>
  <c r="I99" i="2"/>
  <c r="J99" i="2" s="1"/>
  <c r="H99" i="2"/>
  <c r="F99" i="2"/>
  <c r="D99" i="2"/>
  <c r="P98" i="2"/>
  <c r="L98" i="2"/>
  <c r="I98" i="2"/>
  <c r="J98" i="2" s="1"/>
  <c r="H98" i="2"/>
  <c r="F98" i="2"/>
  <c r="D98" i="2"/>
  <c r="P97" i="2"/>
  <c r="L97" i="2"/>
  <c r="I97" i="2"/>
  <c r="J97" i="2" s="1"/>
  <c r="H97" i="2"/>
  <c r="F97" i="2"/>
  <c r="D97" i="2"/>
  <c r="P96" i="2"/>
  <c r="L96" i="2"/>
  <c r="I96" i="2"/>
  <c r="J96" i="2" s="1"/>
  <c r="H96" i="2"/>
  <c r="F96" i="2"/>
  <c r="D96" i="2"/>
  <c r="P95" i="2"/>
  <c r="L95" i="2"/>
  <c r="I95" i="2"/>
  <c r="J95" i="2" s="1"/>
  <c r="H95" i="2"/>
  <c r="F95" i="2"/>
  <c r="D95" i="2"/>
  <c r="P94" i="2"/>
  <c r="L94" i="2"/>
  <c r="I94" i="2"/>
  <c r="J94" i="2" s="1"/>
  <c r="H94" i="2"/>
  <c r="F94" i="2"/>
  <c r="D94" i="2"/>
  <c r="P93" i="2"/>
  <c r="L93" i="2"/>
  <c r="I93" i="2"/>
  <c r="J93" i="2" s="1"/>
  <c r="H93" i="2"/>
  <c r="F93" i="2"/>
  <c r="D93" i="2"/>
  <c r="P92" i="2"/>
  <c r="L92" i="2"/>
  <c r="I92" i="2"/>
  <c r="J92" i="2" s="1"/>
  <c r="H92" i="2"/>
  <c r="F92" i="2"/>
  <c r="D92" i="2"/>
  <c r="P91" i="2"/>
  <c r="L91" i="2"/>
  <c r="I91" i="2"/>
  <c r="J91" i="2" s="1"/>
  <c r="H91" i="2"/>
  <c r="F91" i="2"/>
  <c r="D91" i="2"/>
  <c r="P90" i="2"/>
  <c r="L90" i="2"/>
  <c r="I90" i="2"/>
  <c r="J90" i="2" s="1"/>
  <c r="H90" i="2"/>
  <c r="F90" i="2"/>
  <c r="D90" i="2"/>
  <c r="P89" i="2"/>
  <c r="L89" i="2"/>
  <c r="I89" i="2"/>
  <c r="J89" i="2" s="1"/>
  <c r="H89" i="2"/>
  <c r="F89" i="2"/>
  <c r="D89" i="2"/>
  <c r="P88" i="2"/>
  <c r="L88" i="2"/>
  <c r="I88" i="2"/>
  <c r="J88" i="2" s="1"/>
  <c r="H88" i="2"/>
  <c r="F88" i="2"/>
  <c r="D88" i="2"/>
  <c r="P87" i="2"/>
  <c r="L87" i="2"/>
  <c r="I87" i="2"/>
  <c r="J87" i="2" s="1"/>
  <c r="H87" i="2"/>
  <c r="F87" i="2"/>
  <c r="D87" i="2"/>
  <c r="P86" i="2"/>
  <c r="L86" i="2"/>
  <c r="I86" i="2"/>
  <c r="J86" i="2" s="1"/>
  <c r="H86" i="2"/>
  <c r="F86" i="2"/>
  <c r="D86" i="2"/>
  <c r="P85" i="2"/>
  <c r="L85" i="2"/>
  <c r="I85" i="2"/>
  <c r="J85" i="2" s="1"/>
  <c r="H85" i="2"/>
  <c r="F85" i="2"/>
  <c r="D85" i="2"/>
  <c r="P84" i="2"/>
  <c r="L84" i="2"/>
  <c r="I84" i="2"/>
  <c r="J84" i="2" s="1"/>
  <c r="H84" i="2"/>
  <c r="F84" i="2"/>
  <c r="D84" i="2"/>
  <c r="P83" i="2"/>
  <c r="L83" i="2"/>
  <c r="I83" i="2"/>
  <c r="J83" i="2" s="1"/>
  <c r="H83" i="2"/>
  <c r="F83" i="2"/>
  <c r="D83" i="2"/>
  <c r="P82" i="2"/>
  <c r="L82" i="2"/>
  <c r="I82" i="2"/>
  <c r="J82" i="2" s="1"/>
  <c r="H82" i="2"/>
  <c r="F82" i="2"/>
  <c r="D82" i="2"/>
  <c r="P81" i="2"/>
  <c r="L81" i="2"/>
  <c r="I81" i="2"/>
  <c r="J81" i="2" s="1"/>
  <c r="H81" i="2"/>
  <c r="F81" i="2"/>
  <c r="D81" i="2"/>
  <c r="P80" i="2"/>
  <c r="L80" i="2"/>
  <c r="I80" i="2"/>
  <c r="J80" i="2" s="1"/>
  <c r="H80" i="2"/>
  <c r="F80" i="2"/>
  <c r="D80" i="2"/>
  <c r="P79" i="2"/>
  <c r="L79" i="2"/>
  <c r="I79" i="2"/>
  <c r="J79" i="2" s="1"/>
  <c r="H79" i="2"/>
  <c r="F79" i="2"/>
  <c r="D79" i="2"/>
  <c r="P78" i="2"/>
  <c r="L78" i="2"/>
  <c r="I78" i="2"/>
  <c r="J78" i="2" s="1"/>
  <c r="H78" i="2"/>
  <c r="F78" i="2"/>
  <c r="D78" i="2"/>
  <c r="P77" i="2"/>
  <c r="L77" i="2"/>
  <c r="I77" i="2"/>
  <c r="J77" i="2" s="1"/>
  <c r="H77" i="2"/>
  <c r="F77" i="2"/>
  <c r="D77" i="2"/>
  <c r="P76" i="2"/>
  <c r="L76" i="2"/>
  <c r="I76" i="2"/>
  <c r="J76" i="2" s="1"/>
  <c r="H76" i="2"/>
  <c r="F76" i="2"/>
  <c r="D76" i="2"/>
  <c r="P75" i="2"/>
  <c r="L75" i="2"/>
  <c r="I75" i="2"/>
  <c r="J75" i="2" s="1"/>
  <c r="H75" i="2"/>
  <c r="F75" i="2"/>
  <c r="D75" i="2"/>
  <c r="P74" i="2"/>
  <c r="L74" i="2"/>
  <c r="I74" i="2"/>
  <c r="J74" i="2" s="1"/>
  <c r="H74" i="2"/>
  <c r="F74" i="2"/>
  <c r="D74" i="2"/>
  <c r="L73" i="2"/>
  <c r="I73" i="2"/>
  <c r="J73" i="2" s="1"/>
  <c r="H73" i="2"/>
  <c r="F73" i="2"/>
  <c r="D73" i="2"/>
  <c r="L72" i="2"/>
  <c r="I72" i="2"/>
  <c r="J72" i="2" s="1"/>
  <c r="H72" i="2"/>
  <c r="F72" i="2"/>
  <c r="D72" i="2"/>
  <c r="L71" i="2"/>
  <c r="I71" i="2"/>
  <c r="J71" i="2" s="1"/>
  <c r="H71" i="2"/>
  <c r="F71" i="2"/>
  <c r="D71" i="2"/>
  <c r="L70" i="2"/>
  <c r="I70" i="2"/>
  <c r="J70" i="2" s="1"/>
  <c r="H70" i="2"/>
  <c r="F70" i="2"/>
  <c r="D70" i="2"/>
  <c r="L69" i="2"/>
  <c r="I69" i="2"/>
  <c r="J69" i="2" s="1"/>
  <c r="H69" i="2"/>
  <c r="F69" i="2"/>
  <c r="D69" i="2"/>
  <c r="L68" i="2"/>
  <c r="I68" i="2"/>
  <c r="J68" i="2" s="1"/>
  <c r="H68" i="2"/>
  <c r="F68" i="2"/>
  <c r="D68" i="2"/>
  <c r="P67" i="2"/>
  <c r="L67" i="2"/>
  <c r="I67" i="2"/>
  <c r="J67" i="2" s="1"/>
  <c r="H67" i="2"/>
  <c r="F67" i="2"/>
  <c r="D67" i="2"/>
  <c r="P66" i="2"/>
  <c r="L66" i="2"/>
  <c r="I66" i="2"/>
  <c r="J66" i="2" s="1"/>
  <c r="H66" i="2"/>
  <c r="F66" i="2"/>
  <c r="D66" i="2"/>
  <c r="P65" i="2"/>
  <c r="L65" i="2"/>
  <c r="I65" i="2"/>
  <c r="J65" i="2" s="1"/>
  <c r="H65" i="2"/>
  <c r="F65" i="2"/>
  <c r="D65" i="2"/>
  <c r="P64" i="2"/>
  <c r="L64" i="2"/>
  <c r="I64" i="2"/>
  <c r="J64" i="2" s="1"/>
  <c r="H64" i="2"/>
  <c r="F64" i="2"/>
  <c r="D64" i="2"/>
  <c r="P63" i="2"/>
  <c r="L63" i="2"/>
  <c r="I63" i="2"/>
  <c r="J63" i="2" s="1"/>
  <c r="H63" i="2"/>
  <c r="F63" i="2"/>
  <c r="D63" i="2"/>
  <c r="P62" i="2"/>
  <c r="L62" i="2"/>
  <c r="I62" i="2"/>
  <c r="J62" i="2" s="1"/>
  <c r="H62" i="2"/>
  <c r="F62" i="2"/>
  <c r="D62" i="2"/>
  <c r="P61" i="2"/>
  <c r="L61" i="2"/>
  <c r="I61" i="2"/>
  <c r="J61" i="2" s="1"/>
  <c r="H61" i="2"/>
  <c r="F61" i="2"/>
  <c r="D61" i="2"/>
  <c r="P60" i="2"/>
  <c r="L60" i="2"/>
  <c r="I60" i="2"/>
  <c r="J60" i="2" s="1"/>
  <c r="H60" i="2"/>
  <c r="F60" i="2"/>
  <c r="D60" i="2"/>
  <c r="P59" i="2"/>
  <c r="L59" i="2"/>
  <c r="I59" i="2"/>
  <c r="J59" i="2" s="1"/>
  <c r="H59" i="2"/>
  <c r="F59" i="2"/>
  <c r="D59" i="2"/>
  <c r="P58" i="2"/>
  <c r="L58" i="2"/>
  <c r="I58" i="2"/>
  <c r="J58" i="2" s="1"/>
  <c r="H58" i="2"/>
  <c r="F58" i="2"/>
  <c r="D58" i="2"/>
  <c r="P57" i="2"/>
  <c r="L57" i="2"/>
  <c r="I57" i="2"/>
  <c r="J57" i="2" s="1"/>
  <c r="H57" i="2"/>
  <c r="F57" i="2"/>
  <c r="D57" i="2"/>
  <c r="P56" i="2"/>
  <c r="L56" i="2"/>
  <c r="I56" i="2"/>
  <c r="J56" i="2" s="1"/>
  <c r="H56" i="2"/>
  <c r="F56" i="2"/>
  <c r="D56" i="2"/>
  <c r="P55" i="2"/>
  <c r="L55" i="2"/>
  <c r="I55" i="2"/>
  <c r="J55" i="2" s="1"/>
  <c r="H55" i="2"/>
  <c r="F55" i="2"/>
  <c r="D55" i="2"/>
  <c r="P54" i="2"/>
  <c r="L54" i="2"/>
  <c r="I54" i="2"/>
  <c r="J54" i="2" s="1"/>
  <c r="H54" i="2"/>
  <c r="F54" i="2"/>
  <c r="D54" i="2"/>
  <c r="P53" i="2"/>
  <c r="L53" i="2"/>
  <c r="I53" i="2"/>
  <c r="J53" i="2" s="1"/>
  <c r="H53" i="2"/>
  <c r="F53" i="2"/>
  <c r="D53" i="2"/>
  <c r="P52" i="2"/>
  <c r="L52" i="2"/>
  <c r="I52" i="2"/>
  <c r="J52" i="2" s="1"/>
  <c r="H52" i="2"/>
  <c r="F52" i="2"/>
  <c r="D52" i="2"/>
  <c r="P51" i="2"/>
  <c r="L51" i="2"/>
  <c r="I51" i="2"/>
  <c r="J51" i="2" s="1"/>
  <c r="H51" i="2"/>
  <c r="F51" i="2"/>
  <c r="D51" i="2"/>
  <c r="P50" i="2"/>
  <c r="L50" i="2"/>
  <c r="I50" i="2"/>
  <c r="J50" i="2" s="1"/>
  <c r="H50" i="2"/>
  <c r="F50" i="2"/>
  <c r="D50" i="2"/>
  <c r="P49" i="2"/>
  <c r="L49" i="2"/>
  <c r="I49" i="2"/>
  <c r="J49" i="2" s="1"/>
  <c r="H49" i="2"/>
  <c r="F49" i="2"/>
  <c r="D49" i="2"/>
  <c r="P48" i="2"/>
  <c r="L48" i="2"/>
  <c r="I48" i="2"/>
  <c r="J48" i="2" s="1"/>
  <c r="H48" i="2"/>
  <c r="F48" i="2"/>
  <c r="D48" i="2"/>
  <c r="P47" i="2"/>
  <c r="L47" i="2"/>
  <c r="I47" i="2"/>
  <c r="J47" i="2" s="1"/>
  <c r="H47" i="2"/>
  <c r="F47" i="2"/>
  <c r="D47" i="2"/>
  <c r="P46" i="2"/>
  <c r="L46" i="2"/>
  <c r="I46" i="2"/>
  <c r="J46" i="2" s="1"/>
  <c r="H46" i="2"/>
  <c r="F46" i="2"/>
  <c r="D46" i="2"/>
  <c r="P45" i="2"/>
  <c r="L45" i="2"/>
  <c r="I45" i="2"/>
  <c r="J45" i="2" s="1"/>
  <c r="H45" i="2"/>
  <c r="F45" i="2"/>
  <c r="D45" i="2"/>
  <c r="P44" i="2"/>
  <c r="L44" i="2"/>
  <c r="I44" i="2"/>
  <c r="J44" i="2" s="1"/>
  <c r="H44" i="2"/>
  <c r="F44" i="2"/>
  <c r="D44" i="2"/>
  <c r="P43" i="2"/>
  <c r="L43" i="2"/>
  <c r="I43" i="2"/>
  <c r="J43" i="2" s="1"/>
  <c r="H43" i="2"/>
  <c r="F43" i="2"/>
  <c r="D43" i="2"/>
  <c r="P42" i="2"/>
  <c r="L42" i="2"/>
  <c r="I42" i="2"/>
  <c r="J42" i="2" s="1"/>
  <c r="H42" i="2"/>
  <c r="F42" i="2"/>
  <c r="D42" i="2"/>
  <c r="P41" i="2"/>
  <c r="L41" i="2"/>
  <c r="I41" i="2"/>
  <c r="J41" i="2" s="1"/>
  <c r="H41" i="2"/>
  <c r="F41" i="2"/>
  <c r="D41" i="2"/>
  <c r="P40" i="2"/>
  <c r="L40" i="2"/>
  <c r="I40" i="2"/>
  <c r="J40" i="2" s="1"/>
  <c r="H40" i="2"/>
  <c r="F40" i="2"/>
  <c r="D40" i="2"/>
  <c r="P39" i="2"/>
  <c r="L39" i="2"/>
  <c r="I39" i="2"/>
  <c r="J39" i="2" s="1"/>
  <c r="H39" i="2"/>
  <c r="F39" i="2"/>
  <c r="D39" i="2"/>
  <c r="P38" i="2"/>
  <c r="L38" i="2"/>
  <c r="I38" i="2"/>
  <c r="J38" i="2" s="1"/>
  <c r="H38" i="2"/>
  <c r="F38" i="2"/>
  <c r="D38" i="2"/>
  <c r="P37" i="2"/>
  <c r="L37" i="2"/>
  <c r="I37" i="2"/>
  <c r="J37" i="2" s="1"/>
  <c r="H37" i="2"/>
  <c r="F37" i="2"/>
  <c r="D37" i="2"/>
  <c r="P36" i="2"/>
  <c r="L36" i="2"/>
  <c r="I36" i="2"/>
  <c r="J36" i="2" s="1"/>
  <c r="H36" i="2"/>
  <c r="F36" i="2"/>
  <c r="D36" i="2"/>
  <c r="P35" i="2"/>
  <c r="L35" i="2"/>
  <c r="I35" i="2"/>
  <c r="J35" i="2" s="1"/>
  <c r="H35" i="2"/>
  <c r="F35" i="2"/>
  <c r="D35" i="2"/>
  <c r="P34" i="2"/>
  <c r="L34" i="2"/>
  <c r="I34" i="2"/>
  <c r="J34" i="2" s="1"/>
  <c r="H34" i="2"/>
  <c r="F34" i="2"/>
  <c r="D34" i="2"/>
  <c r="P33" i="2"/>
  <c r="L33" i="2"/>
  <c r="I33" i="2"/>
  <c r="J33" i="2" s="1"/>
  <c r="H33" i="2"/>
  <c r="F33" i="2"/>
  <c r="D33" i="2"/>
  <c r="P32" i="2"/>
  <c r="L32" i="2"/>
  <c r="I32" i="2"/>
  <c r="J32" i="2" s="1"/>
  <c r="H32" i="2"/>
  <c r="F32" i="2"/>
  <c r="D32" i="2"/>
  <c r="P31" i="2"/>
  <c r="L31" i="2"/>
  <c r="I31" i="2"/>
  <c r="J31" i="2" s="1"/>
  <c r="H31" i="2"/>
  <c r="F31" i="2"/>
  <c r="D31" i="2"/>
  <c r="P30" i="2"/>
  <c r="L30" i="2"/>
  <c r="I30" i="2"/>
  <c r="J30" i="2" s="1"/>
  <c r="H30" i="2"/>
  <c r="F30" i="2"/>
  <c r="D30" i="2"/>
  <c r="P29" i="2"/>
  <c r="L29" i="2"/>
  <c r="I29" i="2"/>
  <c r="J29" i="2" s="1"/>
  <c r="H29" i="2"/>
  <c r="F29" i="2"/>
  <c r="D29" i="2"/>
  <c r="P28" i="2"/>
  <c r="L28" i="2"/>
  <c r="I28" i="2"/>
  <c r="J28" i="2" s="1"/>
  <c r="H28" i="2"/>
  <c r="F28" i="2"/>
  <c r="D28" i="2"/>
  <c r="P27" i="2"/>
  <c r="L27" i="2"/>
  <c r="I27" i="2"/>
  <c r="J27" i="2" s="1"/>
  <c r="H27" i="2"/>
  <c r="F27" i="2"/>
  <c r="D27" i="2"/>
  <c r="P26" i="2"/>
  <c r="L26" i="2"/>
  <c r="I26" i="2"/>
  <c r="J26" i="2" s="1"/>
  <c r="H26" i="2"/>
  <c r="F26" i="2"/>
  <c r="D26" i="2"/>
  <c r="L25" i="2"/>
  <c r="I25" i="2"/>
  <c r="J25" i="2" s="1"/>
  <c r="H25" i="2"/>
  <c r="F25" i="2"/>
  <c r="D25" i="2"/>
  <c r="L24" i="2"/>
  <c r="I24" i="2"/>
  <c r="J24" i="2" s="1"/>
  <c r="H24" i="2"/>
  <c r="F24" i="2"/>
  <c r="D24" i="2"/>
  <c r="L23" i="2"/>
  <c r="I23" i="2"/>
  <c r="J23" i="2" s="1"/>
  <c r="H23" i="2"/>
  <c r="F23" i="2"/>
  <c r="D23" i="2"/>
  <c r="L22" i="2"/>
  <c r="I22" i="2"/>
  <c r="J22" i="2" s="1"/>
  <c r="H22" i="2"/>
  <c r="F22" i="2"/>
  <c r="D22" i="2"/>
  <c r="L21" i="2"/>
  <c r="I21" i="2"/>
  <c r="J21" i="2" s="1"/>
  <c r="H21" i="2"/>
  <c r="F21" i="2"/>
  <c r="D21" i="2"/>
  <c r="L20" i="2"/>
  <c r="I20" i="2"/>
  <c r="J20" i="2" s="1"/>
  <c r="H20" i="2"/>
  <c r="F20" i="2"/>
  <c r="D20" i="2"/>
  <c r="L19" i="2"/>
  <c r="I19" i="2"/>
  <c r="J19" i="2" s="1"/>
  <c r="H19" i="2"/>
  <c r="F19" i="2"/>
  <c r="D19" i="2"/>
  <c r="L18" i="2"/>
  <c r="I18" i="2"/>
  <c r="J18" i="2" s="1"/>
  <c r="H18" i="2"/>
  <c r="F18" i="2"/>
  <c r="D18" i="2"/>
  <c r="L17" i="2"/>
  <c r="I17" i="2"/>
  <c r="J17" i="2" s="1"/>
  <c r="H17" i="2"/>
  <c r="F17" i="2"/>
  <c r="D17" i="2"/>
  <c r="L16" i="2"/>
  <c r="I16" i="2"/>
  <c r="J16" i="2" s="1"/>
  <c r="H16" i="2"/>
  <c r="F16" i="2"/>
  <c r="D16" i="2"/>
  <c r="L15" i="2"/>
  <c r="I15" i="2"/>
  <c r="J15" i="2" s="1"/>
  <c r="H15" i="2"/>
  <c r="F15" i="2"/>
  <c r="D15" i="2"/>
  <c r="L14" i="2"/>
  <c r="I14" i="2"/>
  <c r="J14" i="2" s="1"/>
  <c r="H14" i="2"/>
  <c r="F14" i="2"/>
  <c r="D14" i="2"/>
  <c r="L13" i="2"/>
  <c r="I13" i="2"/>
  <c r="J13" i="2" s="1"/>
  <c r="H13" i="2"/>
  <c r="F13" i="2"/>
  <c r="D13" i="2"/>
  <c r="L12" i="2"/>
  <c r="I12" i="2"/>
  <c r="J12" i="2" s="1"/>
  <c r="H12" i="2"/>
  <c r="F12" i="2"/>
  <c r="D12" i="2"/>
  <c r="L11" i="2"/>
  <c r="I11" i="2"/>
  <c r="J11" i="2" s="1"/>
  <c r="H11" i="2"/>
  <c r="F11" i="2"/>
  <c r="D11" i="2"/>
  <c r="L10" i="2"/>
  <c r="I10" i="2"/>
  <c r="J10" i="2" s="1"/>
  <c r="H10" i="2"/>
  <c r="F10" i="2"/>
  <c r="D10" i="2"/>
  <c r="L9" i="2"/>
  <c r="I9" i="2"/>
  <c r="J9" i="2" s="1"/>
  <c r="H9" i="2"/>
  <c r="F9" i="2"/>
  <c r="D9" i="2"/>
  <c r="L8" i="2"/>
  <c r="I8" i="2"/>
  <c r="J8" i="2" s="1"/>
  <c r="H8" i="2"/>
  <c r="F8" i="2"/>
  <c r="D8" i="2"/>
  <c r="L7" i="2"/>
  <c r="I7" i="2"/>
  <c r="J7" i="2" s="1"/>
  <c r="H7" i="2"/>
  <c r="F7" i="2"/>
  <c r="D7" i="2"/>
  <c r="L6" i="2"/>
  <c r="I6" i="2"/>
  <c r="J6" i="2" s="1"/>
  <c r="H6" i="2"/>
  <c r="F6" i="2"/>
  <c r="D6" i="2"/>
  <c r="L5" i="2"/>
  <c r="I5" i="2"/>
  <c r="J5" i="2" s="1"/>
  <c r="H5" i="2"/>
  <c r="F5" i="2"/>
  <c r="D5" i="2"/>
  <c r="L4" i="2"/>
  <c r="I4" i="2"/>
  <c r="J4" i="2" s="1"/>
  <c r="H4" i="2"/>
  <c r="F4" i="2"/>
  <c r="D4" i="2"/>
  <c r="L3" i="2"/>
  <c r="I3" i="2"/>
  <c r="J3" i="2" s="1"/>
  <c r="H3" i="2"/>
  <c r="F3" i="2"/>
  <c r="D3" i="2"/>
  <c r="L2" i="2"/>
  <c r="I2" i="2"/>
  <c r="J2" i="2" s="1"/>
  <c r="H2" i="2"/>
  <c r="F2" i="2"/>
  <c r="D2" i="2"/>
</calcChain>
</file>

<file path=xl/sharedStrings.xml><?xml version="1.0" encoding="utf-8"?>
<sst xmlns="http://schemas.openxmlformats.org/spreadsheetml/2006/main" count="160" uniqueCount="160">
  <si>
    <t>Formato Fecha</t>
  </si>
  <si>
    <t>Aporte AFP</t>
  </si>
  <si>
    <t>Seg Social Exp vida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</si>
  <si>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</si>
  <si>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</si>
  <si>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</si>
  <si>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</si>
  <si>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</si>
  <si>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</si>
  <si>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</si>
  <si>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</si>
  <si>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</si>
  <si>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</si>
  <si>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</si>
  <si>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</si>
  <si>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</si>
  <si>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</si>
  <si>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</si>
  <si>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</si>
  <si>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</si>
  <si>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</si>
  <si>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</si>
  <si>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</si>
  <si>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</si>
  <si>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</si>
  <si>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</si>
  <si>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</si>
  <si>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</si>
  <si>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</si>
  <si>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</si>
  <si>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</si>
  <si>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</si>
  <si>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</si>
  <si>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</si>
  <si>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</si>
  <si>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</si>
  <si>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</si>
  <si>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</si>
  <si>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</si>
  <si>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</si>
  <si>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</si>
  <si>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</si>
  <si>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</si>
  <si>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</si>
  <si>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</si>
  <si>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</si>
  <si>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</si>
  <si>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</si>
  <si>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</si>
  <si>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</si>
  <si>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</si>
  <si>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</si>
  <si>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</si>
  <si>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</si>
  <si>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</si>
  <si>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</si>
  <si>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</si>
  <si>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</si>
  <si>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</si>
  <si>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</si>
  <si>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</si>
  <si>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</si>
  <si>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</si>
  <si>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</si>
  <si>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</si>
  <si>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</si>
  <si>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</si>
  <si>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</si>
  <si>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</si>
  <si>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</si>
  <si>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</si>
  <si>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</si>
  <si>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</si>
  <si>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</si>
  <si>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</si>
  <si>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</si>
  <si>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</si>
  <si>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</si>
  <si>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</si>
  <si>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</si>
  <si>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</si>
  <si>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</si>
  <si>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</si>
  <si>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</si>
  <si>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</si>
  <si>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</si>
  <si>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</si>
  <si>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</si>
  <si>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</si>
  <si>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</si>
  <si>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</si>
  <si>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</si>
  <si>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</si>
  <si>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</si>
  <si>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</si>
  <si>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</si>
  <si>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</si>
  <si>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</si>
  <si>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</si>
  <si>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</si>
  <si>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</si>
  <si>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</si>
  <si>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</si>
  <si>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</si>
  <si>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</si>
  <si>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</si>
  <si>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</si>
  <si>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</si>
  <si>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</si>
  <si>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</si>
  <si>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</si>
  <si>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</si>
  <si>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</si>
  <si>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</si>
  <si>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</si>
  <si>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mes_Proc</t>
  </si>
  <si>
    <t>uf_Mes</t>
  </si>
  <si>
    <t>topeCes_Uf</t>
  </si>
  <si>
    <t>topeImp_Uf_afp</t>
  </si>
  <si>
    <t>topeImp_pesos_afp</t>
  </si>
  <si>
    <t>topeCes_pesos</t>
  </si>
  <si>
    <t>sis</t>
  </si>
  <si>
    <t>factor_sis</t>
  </si>
  <si>
    <t>topeSalud_Uf</t>
  </si>
  <si>
    <t>topeSalud_pesos</t>
  </si>
  <si>
    <t>imm</t>
  </si>
  <si>
    <t>topeGratif</t>
  </si>
  <si>
    <t>ult_Diames</t>
  </si>
  <si>
    <t>aporte_Ccaf</t>
  </si>
  <si>
    <t>aporte_Fonasa</t>
  </si>
  <si>
    <t>monto_Utm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</si>
  <si>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</si>
  <si>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</si>
  <si>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</si>
  <si>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</si>
  <si>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</si>
  <si>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</si>
  <si>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</si>
  <si>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</si>
  <si>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</si>
  <si>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</si>
  <si>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</si>
  <si>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</si>
  <si>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</si>
  <si>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</si>
  <si>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</si>
  <si>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</si>
  <si>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</si>
  <si>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</si>
  <si>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</si>
  <si>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</si>
  <si>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aporteFAPPBAC</t>
  </si>
  <si>
    <t>ExpVida_Sis</t>
  </si>
  <si>
    <t>2028-01</t>
  </si>
  <si>
    <t>2028-02</t>
  </si>
  <si>
    <t>2028-03</t>
  </si>
  <si>
    <t>2028-04</t>
  </si>
  <si>
    <t>2028-05</t>
  </si>
  <si>
    <t>2028-06</t>
  </si>
  <si>
    <t>2028-07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</si>
</sst>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dd/mm/aaaa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0" fillId="3" borderId="1" xfId="0" applyFill="1" applyBorder="1"/>
    <xf numFmtId="0" fontId="0" fillId="0" borderId="1" xfId="0" applyBorder="1"/>
    <xf numFmtId="1" fontId="0" fillId="3" borderId="1" xfId="0" applyNumberFormat="1" applyFill="1" applyBorder="1"/>
    <xf numFmtId="14" fontId="0" fillId="0" borderId="1" xfId="0" applyNumberFormat="1" applyBorder="1"/>
    <xf numFmtId="0" fontId="2" fillId="2" borderId="1" xfId="0" applyFont="1" applyFill="1" applyBorder="1"/>
    <xf numFmtId="0" fontId="0" fillId="0" borderId="1" xfId="1" applyNumberFormat="1" applyFont="1" applyBorder="1"/>
    <xf numFmtId="0" fontId="0" fillId="0" borderId="1" xfId="1" applyNumberFormat="1" applyFont="1" applyFill="1" applyBorder="1"/>
    <xf numFmtId="2" fontId="0" fillId="0" borderId="1" xfId="0" applyNumberFormat="1" applyBorder="1"/>
    <xf numFmtId="0" fontId="0" fillId="0" borderId="2" xfId="1" applyNumberFormat="1" applyFont="1" applyFill="1" applyBorder="1"/>
    <xf numFmtId="164" fontId="0" fillId="0" borderId="1" xfId="0" applyNumberFormat="1" applyBorder="1" applyAlignment="1">
      <alignment horizontal="right"/>
    </xf>
    <xf numFmtId="0" fontId="0" fillId="0" borderId="3" xfId="0" applyBorder="1"/>
    <xf numFmtId="0" fontId="2" fillId="2" borderId="2" xfId="0" applyFont="1" applyFill="1" applyBorder="1"/>
    <xf numFmtId="0" fontId="0" fillId="3" borderId="3" xfId="0" applyFill="1" applyBorder="1"/>
    <xf numFmtId="1" fontId="0" fillId="3" borderId="3" xfId="0" applyNumberFormat="1" applyFill="1" applyBorder="1"/>
    <xf numFmtId="0" fontId="2" fillId="2" borderId="3" xfId="0" applyFont="1" applyFill="1" applyBorder="1"/>
    <xf numFmtId="4" fontId="0" fillId="0" borderId="1" xfId="0" applyNumberFormat="1" applyBorder="1"/>
    <xf numFmtId="3" fontId="0" fillId="0" borderId="1" xfId="0" applyNumberFormat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14BD-A912-4688-A47A-8948A43ADEEA}">
  <dimension ref="A1:U140"/>
  <sheetViews>
    <sheetView tabSelected="1" workbookViewId="0">
      <pane ySplit="1" topLeftCell="A115" activePane="bottomLeft" state="frozen"/>
      <selection pane="bottomLeft" activeCell="R1" sqref="R1:T1"/>
    </sheetView>
  </sheetViews>
  <sheetFormatPr baseColWidth="10" defaultRowHeight="15" x14ac:dyDescent="0.25"/>
  <cols>
    <col min="1" max="1" width="10.140625" bestFit="1" customWidth="1"/>
    <col min="2" max="2" width="10" bestFit="1" customWidth="1"/>
    <col min="3" max="3" width="15.5703125" bestFit="1" customWidth="1"/>
    <col min="4" max="4" width="19" bestFit="1" customWidth="1"/>
    <col min="5" max="5" width="11.7109375" bestFit="1" customWidth="1"/>
    <col min="6" max="6" width="15.7109375" bestFit="1" customWidth="1"/>
    <col min="7" max="7" width="7.5703125" customWidth="1"/>
    <col min="8" max="8" width="10" bestFit="1" customWidth="1"/>
    <col min="9" max="9" width="13.42578125" bestFit="1" customWidth="1"/>
    <col min="10" max="10" width="16.85546875" bestFit="1" customWidth="1"/>
    <col min="11" max="11" width="7" bestFit="1" customWidth="1"/>
    <col min="12" max="12" width="11.140625" bestFit="1" customWidth="1"/>
    <col min="13" max="13" width="11.85546875" bestFit="1" customWidth="1"/>
    <col min="14" max="14" width="12.85546875" bestFit="1" customWidth="1"/>
    <col min="15" max="15" width="12.28515625" bestFit="1" customWidth="1"/>
    <col min="16" max="16" width="14.5703125" bestFit="1" customWidth="1"/>
    <col min="17" max="17" width="15" bestFit="1" customWidth="1"/>
    <col min="18" max="18" width="11.28515625" bestFit="1" customWidth="1"/>
    <col min="19" max="19" width="18.85546875" bestFit="1" customWidth="1"/>
    <col min="20" max="20" width="16.140625" bestFit="1" customWidth="1"/>
    <col min="21" max="21" width="13.140625" customWidth="1"/>
  </cols>
  <sheetData>
    <row r="1" spans="1:21" ht="15.75" x14ac:dyDescent="0.25">
      <c r="A1" s="5" t="s">
        <v>115</v>
      </c>
      <c r="B1" s="5" t="s">
        <v>116</v>
      </c>
      <c r="C1" s="5" t="s">
        <v>118</v>
      </c>
      <c r="D1" s="5" t="s">
        <v>119</v>
      </c>
      <c r="E1" s="5" t="s">
        <v>117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130</v>
      </c>
      <c r="N1" s="5" t="s">
        <v>127</v>
      </c>
      <c r="O1" s="5" t="s">
        <v>128</v>
      </c>
      <c r="P1" s="5" t="s">
        <v>129</v>
      </c>
      <c r="Q1" s="15" t="s">
        <v>0</v>
      </c>
      <c r="R1" s="15" t="s">
        <v>1</v>
      </c>
      <c r="S1" s="15" t="s">
        <v>2</v>
      </c>
      <c r="T1" s="15" t="s">
        <v>151</v>
      </c>
      <c r="U1" s="12" t="s">
        <v>152</v>
      </c>
    </row>
    <row r="2" spans="1:21" x14ac:dyDescent="0.25">
      <c r="A2" s="1" t="s">
        <v>3</v>
      </c>
      <c r="B2" s="2">
        <v>26318.21</v>
      </c>
      <c r="C2" s="2">
        <v>75.7</v>
      </c>
      <c r="D2" s="1">
        <f>ROUND(B2*C2,0)</f>
        <v>1992288</v>
      </c>
      <c r="E2" s="2">
        <v>113.5</v>
      </c>
      <c r="F2" s="1">
        <f>ROUND(B2*E2,0)</f>
        <v>2987117</v>
      </c>
      <c r="G2" s="2">
        <v>1.41</v>
      </c>
      <c r="H2" s="1">
        <f>G2/100</f>
        <v>1.41E-2</v>
      </c>
      <c r="I2" s="1">
        <f>+C2*0.07</f>
        <v>5.2990000000000004</v>
      </c>
      <c r="J2" s="1">
        <f>ROUND(B2*I2,0)</f>
        <v>139460</v>
      </c>
      <c r="K2" s="2">
        <v>264000</v>
      </c>
      <c r="L2" s="3">
        <f>ROUND((K2*4.75)/12,0)</f>
        <v>104500</v>
      </c>
      <c r="M2" s="2">
        <v>46229</v>
      </c>
      <c r="N2" s="2">
        <v>31</v>
      </c>
      <c r="O2" s="2"/>
      <c r="P2" s="1"/>
      <c r="Q2" s="10" t="str">
        <f>_xlfn.CONCAT(N2,"-",RIGHT(A2,2),"-",LEFT(A2,4))</f>
        <v>31-01-2017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1" t="s">
        <v>4</v>
      </c>
      <c r="B3" s="2">
        <v>26392.09</v>
      </c>
      <c r="C3" s="2">
        <v>75.7</v>
      </c>
      <c r="D3" s="1">
        <f t="shared" ref="D3:D66" si="0">ROUND(B3*C3,0)</f>
        <v>1997881</v>
      </c>
      <c r="E3" s="2">
        <v>113.5</v>
      </c>
      <c r="F3" s="1">
        <f t="shared" ref="F3:F66" si="1">ROUND(B3*E3,0)</f>
        <v>2995502</v>
      </c>
      <c r="G3" s="2">
        <v>1.41</v>
      </c>
      <c r="H3" s="1">
        <f t="shared" ref="H3:H66" si="2">G3/100</f>
        <v>1.41E-2</v>
      </c>
      <c r="I3" s="1">
        <f t="shared" ref="I3:I66" si="3">+C3*0.07</f>
        <v>5.2990000000000004</v>
      </c>
      <c r="J3" s="1">
        <f t="shared" ref="J3:J66" si="4">ROUND(B3*I3,0)</f>
        <v>139852</v>
      </c>
      <c r="K3" s="2">
        <v>264000</v>
      </c>
      <c r="L3" s="3">
        <f t="shared" ref="L3:L66" si="5">ROUND((K3*4.75)/12,0)</f>
        <v>104500</v>
      </c>
      <c r="M3" s="2">
        <v>46137</v>
      </c>
      <c r="N3" s="2">
        <v>28</v>
      </c>
      <c r="O3" s="2"/>
      <c r="P3" s="1"/>
      <c r="Q3" s="10" t="str">
        <f t="shared" ref="Q3:Q66" si="6">_xlfn.CONCAT(N3,"-",RIGHT(A3,2),"-",LEFT(A3,4))</f>
        <v>28-02-2017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1" t="s">
        <v>5</v>
      </c>
      <c r="B4" s="2">
        <v>26471.94</v>
      </c>
      <c r="C4" s="2">
        <v>75.7</v>
      </c>
      <c r="D4" s="1">
        <f t="shared" si="0"/>
        <v>2003926</v>
      </c>
      <c r="E4" s="2">
        <v>113.5</v>
      </c>
      <c r="F4" s="1">
        <f t="shared" si="1"/>
        <v>3004565</v>
      </c>
      <c r="G4" s="2">
        <v>1.41</v>
      </c>
      <c r="H4" s="1">
        <f t="shared" si="2"/>
        <v>1.41E-2</v>
      </c>
      <c r="I4" s="1">
        <f t="shared" si="3"/>
        <v>5.2990000000000004</v>
      </c>
      <c r="J4" s="1">
        <f t="shared" si="4"/>
        <v>140275</v>
      </c>
      <c r="K4" s="2">
        <v>264000</v>
      </c>
      <c r="L4" s="3">
        <f t="shared" si="5"/>
        <v>104500</v>
      </c>
      <c r="M4" s="2">
        <v>46368</v>
      </c>
      <c r="N4" s="2">
        <v>31</v>
      </c>
      <c r="O4" s="2"/>
      <c r="P4" s="1"/>
      <c r="Q4" s="10" t="str">
        <f t="shared" si="6"/>
        <v>31-03-2017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" t="s">
        <v>6</v>
      </c>
      <c r="B5" s="2">
        <v>26561.42</v>
      </c>
      <c r="C5" s="2">
        <v>75.7</v>
      </c>
      <c r="D5" s="1">
        <f t="shared" si="0"/>
        <v>2010699</v>
      </c>
      <c r="E5" s="2">
        <v>113.5</v>
      </c>
      <c r="F5" s="1">
        <f t="shared" si="1"/>
        <v>3014721</v>
      </c>
      <c r="G5" s="2">
        <v>1.41</v>
      </c>
      <c r="H5" s="1">
        <f t="shared" si="2"/>
        <v>1.41E-2</v>
      </c>
      <c r="I5" s="1">
        <f t="shared" si="3"/>
        <v>5.2990000000000004</v>
      </c>
      <c r="J5" s="1">
        <f t="shared" si="4"/>
        <v>140749</v>
      </c>
      <c r="K5" s="2">
        <v>264000</v>
      </c>
      <c r="L5" s="3">
        <f t="shared" si="5"/>
        <v>104500</v>
      </c>
      <c r="M5" s="2">
        <v>46461</v>
      </c>
      <c r="N5" s="2">
        <v>30</v>
      </c>
      <c r="O5" s="2"/>
      <c r="P5" s="1"/>
      <c r="Q5" s="10" t="str">
        <f t="shared" si="6"/>
        <v>30-04-2017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1" t="s">
        <v>7</v>
      </c>
      <c r="B6" s="2">
        <v>26630.98</v>
      </c>
      <c r="C6" s="2">
        <v>75.7</v>
      </c>
      <c r="D6" s="1">
        <f t="shared" si="0"/>
        <v>2015965</v>
      </c>
      <c r="E6" s="2">
        <v>113.5</v>
      </c>
      <c r="F6" s="1">
        <f t="shared" si="1"/>
        <v>3022616</v>
      </c>
      <c r="G6" s="2">
        <v>1.41</v>
      </c>
      <c r="H6" s="1">
        <f t="shared" si="2"/>
        <v>1.41E-2</v>
      </c>
      <c r="I6" s="1">
        <f t="shared" si="3"/>
        <v>5.2990000000000004</v>
      </c>
      <c r="J6" s="1">
        <f t="shared" si="4"/>
        <v>141118</v>
      </c>
      <c r="K6" s="2">
        <v>264000</v>
      </c>
      <c r="L6" s="3">
        <f t="shared" si="5"/>
        <v>104500</v>
      </c>
      <c r="M6" s="2">
        <v>46647</v>
      </c>
      <c r="N6" s="2">
        <v>31</v>
      </c>
      <c r="O6" s="2"/>
      <c r="P6" s="1"/>
      <c r="Q6" s="10" t="str">
        <f t="shared" si="6"/>
        <v>31-05-2017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1" t="s">
        <v>8</v>
      </c>
      <c r="B7" s="2">
        <v>26665.09</v>
      </c>
      <c r="C7" s="2">
        <v>75.7</v>
      </c>
      <c r="D7" s="1">
        <f t="shared" si="0"/>
        <v>2018547</v>
      </c>
      <c r="E7" s="2">
        <v>113.5</v>
      </c>
      <c r="F7" s="1">
        <f t="shared" si="1"/>
        <v>3026488</v>
      </c>
      <c r="G7" s="2">
        <v>1.41</v>
      </c>
      <c r="H7" s="1">
        <f t="shared" si="2"/>
        <v>1.41E-2</v>
      </c>
      <c r="I7" s="1">
        <f t="shared" si="3"/>
        <v>5.2990000000000004</v>
      </c>
      <c r="J7" s="1">
        <f t="shared" si="4"/>
        <v>141298</v>
      </c>
      <c r="K7" s="2">
        <v>264000</v>
      </c>
      <c r="L7" s="3">
        <f t="shared" si="5"/>
        <v>104500</v>
      </c>
      <c r="M7" s="2">
        <v>46740</v>
      </c>
      <c r="N7" s="2">
        <v>30</v>
      </c>
      <c r="O7" s="2"/>
      <c r="P7" s="1"/>
      <c r="Q7" s="10" t="str">
        <f t="shared" si="6"/>
        <v>30-06-2017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1" t="s">
        <v>9</v>
      </c>
      <c r="B8" s="2">
        <v>26597.33</v>
      </c>
      <c r="C8" s="2">
        <v>75.7</v>
      </c>
      <c r="D8" s="1">
        <f t="shared" si="0"/>
        <v>2013418</v>
      </c>
      <c r="E8" s="2">
        <v>113.5</v>
      </c>
      <c r="F8" s="1">
        <f t="shared" si="1"/>
        <v>3018797</v>
      </c>
      <c r="G8" s="2">
        <v>1.41</v>
      </c>
      <c r="H8" s="1">
        <f t="shared" si="2"/>
        <v>1.41E-2</v>
      </c>
      <c r="I8" s="1">
        <f t="shared" si="3"/>
        <v>5.2990000000000004</v>
      </c>
      <c r="J8" s="1">
        <f t="shared" si="4"/>
        <v>140939</v>
      </c>
      <c r="K8" s="2">
        <v>270000</v>
      </c>
      <c r="L8" s="3">
        <f t="shared" si="5"/>
        <v>106875</v>
      </c>
      <c r="M8" s="2">
        <v>46787</v>
      </c>
      <c r="N8" s="2">
        <v>31</v>
      </c>
      <c r="O8" s="2"/>
      <c r="P8" s="1"/>
      <c r="Q8" s="10" t="str">
        <f t="shared" si="6"/>
        <v>31-07-2017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1" t="s">
        <v>10</v>
      </c>
      <c r="B9" s="2">
        <v>26604.1</v>
      </c>
      <c r="C9" s="2">
        <v>75.7</v>
      </c>
      <c r="D9" s="1">
        <f t="shared" si="0"/>
        <v>2013930</v>
      </c>
      <c r="E9" s="2">
        <v>113.5</v>
      </c>
      <c r="F9" s="1">
        <f t="shared" si="1"/>
        <v>3019565</v>
      </c>
      <c r="G9" s="2">
        <v>1.41</v>
      </c>
      <c r="H9" s="1">
        <f t="shared" si="2"/>
        <v>1.41E-2</v>
      </c>
      <c r="I9" s="1">
        <f t="shared" si="3"/>
        <v>5.2990000000000004</v>
      </c>
      <c r="J9" s="1">
        <f t="shared" si="4"/>
        <v>140975</v>
      </c>
      <c r="K9" s="2">
        <v>270000</v>
      </c>
      <c r="L9" s="3">
        <f t="shared" si="5"/>
        <v>106875</v>
      </c>
      <c r="M9" s="2">
        <v>46600</v>
      </c>
      <c r="N9" s="2">
        <v>31</v>
      </c>
      <c r="O9" s="2"/>
      <c r="P9" s="1"/>
      <c r="Q9" s="10" t="str">
        <f t="shared" si="6"/>
        <v>31-08-2017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1" t="s">
        <v>11</v>
      </c>
      <c r="B10" s="2">
        <v>26656.79</v>
      </c>
      <c r="C10" s="2">
        <v>75.7</v>
      </c>
      <c r="D10" s="1">
        <f t="shared" si="0"/>
        <v>2017919</v>
      </c>
      <c r="E10" s="2">
        <v>113.5</v>
      </c>
      <c r="F10" s="1">
        <f t="shared" si="1"/>
        <v>3025546</v>
      </c>
      <c r="G10" s="2">
        <v>1.41</v>
      </c>
      <c r="H10" s="1">
        <f t="shared" si="2"/>
        <v>1.41E-2</v>
      </c>
      <c r="I10" s="1">
        <f t="shared" si="3"/>
        <v>5.2990000000000004</v>
      </c>
      <c r="J10" s="1">
        <f t="shared" si="4"/>
        <v>141254</v>
      </c>
      <c r="K10" s="2">
        <v>270000</v>
      </c>
      <c r="L10" s="3">
        <f t="shared" si="5"/>
        <v>106875</v>
      </c>
      <c r="M10" s="2">
        <v>46693</v>
      </c>
      <c r="N10" s="2">
        <v>30</v>
      </c>
      <c r="O10" s="2"/>
      <c r="P10" s="1"/>
      <c r="Q10" s="10" t="str">
        <f t="shared" si="6"/>
        <v>30-09-2017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1" t="s">
        <v>12</v>
      </c>
      <c r="B11" s="2">
        <v>26634.9</v>
      </c>
      <c r="C11" s="2">
        <v>75.7</v>
      </c>
      <c r="D11" s="1">
        <f t="shared" si="0"/>
        <v>2016262</v>
      </c>
      <c r="E11" s="2">
        <v>113.5</v>
      </c>
      <c r="F11" s="1">
        <f t="shared" si="1"/>
        <v>3023061</v>
      </c>
      <c r="G11" s="2">
        <v>1.41</v>
      </c>
      <c r="H11" s="1">
        <f t="shared" si="2"/>
        <v>1.41E-2</v>
      </c>
      <c r="I11" s="1">
        <f t="shared" si="3"/>
        <v>5.2990000000000004</v>
      </c>
      <c r="J11" s="1">
        <f t="shared" si="4"/>
        <v>141138</v>
      </c>
      <c r="K11" s="2">
        <v>270000</v>
      </c>
      <c r="L11" s="3">
        <f t="shared" si="5"/>
        <v>106875</v>
      </c>
      <c r="M11" s="2">
        <v>46786</v>
      </c>
      <c r="N11" s="2">
        <v>31</v>
      </c>
      <c r="O11" s="2"/>
      <c r="P11" s="1"/>
      <c r="Q11" s="10" t="str">
        <f t="shared" si="6"/>
        <v>31-10-2017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5">
      <c r="A12" s="1" t="s">
        <v>13</v>
      </c>
      <c r="B12" s="2">
        <v>26731.119999999999</v>
      </c>
      <c r="C12" s="2">
        <v>75.7</v>
      </c>
      <c r="D12" s="1">
        <f t="shared" si="0"/>
        <v>2023546</v>
      </c>
      <c r="E12" s="2">
        <v>113.5</v>
      </c>
      <c r="F12" s="1">
        <f t="shared" si="1"/>
        <v>3033982</v>
      </c>
      <c r="G12" s="2">
        <v>1.41</v>
      </c>
      <c r="H12" s="1">
        <f t="shared" si="2"/>
        <v>1.41E-2</v>
      </c>
      <c r="I12" s="1">
        <f t="shared" si="3"/>
        <v>5.2990000000000004</v>
      </c>
      <c r="J12" s="1">
        <f t="shared" si="4"/>
        <v>141648</v>
      </c>
      <c r="K12" s="2">
        <v>270000</v>
      </c>
      <c r="L12" s="3">
        <f t="shared" si="5"/>
        <v>106875</v>
      </c>
      <c r="M12" s="2">
        <v>46692</v>
      </c>
      <c r="N12" s="2">
        <v>30</v>
      </c>
      <c r="O12" s="2"/>
      <c r="P12" s="1"/>
      <c r="Q12" s="10" t="str">
        <f t="shared" si="6"/>
        <v>30-11-2017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s="1" t="s">
        <v>14</v>
      </c>
      <c r="B13" s="2">
        <v>26798.14</v>
      </c>
      <c r="C13" s="2">
        <v>75.7</v>
      </c>
      <c r="D13" s="1">
        <f t="shared" si="0"/>
        <v>2028619</v>
      </c>
      <c r="E13" s="2">
        <v>113.5</v>
      </c>
      <c r="F13" s="1">
        <f t="shared" si="1"/>
        <v>3041589</v>
      </c>
      <c r="G13" s="2">
        <v>1.41</v>
      </c>
      <c r="H13" s="1">
        <f t="shared" si="2"/>
        <v>1.41E-2</v>
      </c>
      <c r="I13" s="1">
        <f t="shared" si="3"/>
        <v>5.2990000000000004</v>
      </c>
      <c r="J13" s="1">
        <f t="shared" si="4"/>
        <v>142003</v>
      </c>
      <c r="K13" s="2">
        <v>270000</v>
      </c>
      <c r="L13" s="3">
        <f t="shared" si="5"/>
        <v>106875</v>
      </c>
      <c r="M13" s="2">
        <v>46972</v>
      </c>
      <c r="N13" s="2">
        <v>31</v>
      </c>
      <c r="O13" s="2"/>
      <c r="P13" s="1"/>
      <c r="Q13" s="10" t="str">
        <f t="shared" si="6"/>
        <v>31-12-2017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1" t="s">
        <v>15</v>
      </c>
      <c r="B14" s="2">
        <v>26824.94</v>
      </c>
      <c r="C14" s="2">
        <v>78.3</v>
      </c>
      <c r="D14" s="1">
        <f t="shared" si="0"/>
        <v>2100393</v>
      </c>
      <c r="E14" s="2">
        <v>117.5</v>
      </c>
      <c r="F14" s="1">
        <f t="shared" si="1"/>
        <v>3151930</v>
      </c>
      <c r="G14" s="2">
        <v>1.41</v>
      </c>
      <c r="H14" s="1">
        <f t="shared" si="2"/>
        <v>1.41E-2</v>
      </c>
      <c r="I14" s="1">
        <f t="shared" si="3"/>
        <v>5.4810000000000008</v>
      </c>
      <c r="J14" s="1">
        <f t="shared" si="4"/>
        <v>147027</v>
      </c>
      <c r="K14" s="2">
        <v>276000</v>
      </c>
      <c r="L14" s="3">
        <f t="shared" si="5"/>
        <v>109250</v>
      </c>
      <c r="M14" s="2">
        <v>47019</v>
      </c>
      <c r="N14" s="2">
        <v>31</v>
      </c>
      <c r="O14" s="2"/>
      <c r="P14" s="1"/>
      <c r="Q14" s="10" t="str">
        <f t="shared" si="6"/>
        <v>31-01-2018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1" t="s">
        <v>16</v>
      </c>
      <c r="B15" s="2">
        <v>26923.7</v>
      </c>
      <c r="C15" s="2">
        <v>78.3</v>
      </c>
      <c r="D15" s="1">
        <f t="shared" si="0"/>
        <v>2108126</v>
      </c>
      <c r="E15" s="2">
        <v>117.5</v>
      </c>
      <c r="F15" s="1">
        <f t="shared" si="1"/>
        <v>3163535</v>
      </c>
      <c r="G15" s="2">
        <v>1.41</v>
      </c>
      <c r="H15" s="1">
        <f t="shared" si="2"/>
        <v>1.41E-2</v>
      </c>
      <c r="I15" s="1">
        <f t="shared" si="3"/>
        <v>5.4810000000000008</v>
      </c>
      <c r="J15" s="1">
        <f t="shared" si="4"/>
        <v>147569</v>
      </c>
      <c r="K15" s="2">
        <v>276000</v>
      </c>
      <c r="L15" s="3">
        <f t="shared" si="5"/>
        <v>109250</v>
      </c>
      <c r="M15" s="2">
        <v>47066</v>
      </c>
      <c r="N15" s="2">
        <v>28</v>
      </c>
      <c r="O15" s="2"/>
      <c r="P15" s="1"/>
      <c r="Q15" s="10" t="str">
        <f t="shared" si="6"/>
        <v>28-02-2018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25">
      <c r="A16" s="1" t="s">
        <v>17</v>
      </c>
      <c r="B16" s="2">
        <v>26966.89</v>
      </c>
      <c r="C16" s="2">
        <v>78.3</v>
      </c>
      <c r="D16" s="1">
        <f t="shared" si="0"/>
        <v>2111507</v>
      </c>
      <c r="E16" s="2">
        <v>117.5</v>
      </c>
      <c r="F16" s="1">
        <f t="shared" si="1"/>
        <v>3168610</v>
      </c>
      <c r="G16" s="2">
        <v>1.41</v>
      </c>
      <c r="H16" s="1">
        <f t="shared" si="2"/>
        <v>1.41E-2</v>
      </c>
      <c r="I16" s="1">
        <f t="shared" si="3"/>
        <v>5.4810000000000008</v>
      </c>
      <c r="J16" s="1">
        <f t="shared" si="4"/>
        <v>147806</v>
      </c>
      <c r="K16" s="2">
        <v>276000</v>
      </c>
      <c r="L16" s="3">
        <f t="shared" si="5"/>
        <v>109250</v>
      </c>
      <c r="M16" s="2">
        <v>47301</v>
      </c>
      <c r="N16" s="2">
        <v>31</v>
      </c>
      <c r="O16" s="2"/>
      <c r="P16" s="1"/>
      <c r="Q16" s="10" t="str">
        <f t="shared" si="6"/>
        <v>31-03-2018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25">
      <c r="A17" s="1" t="s">
        <v>18</v>
      </c>
      <c r="B17" s="2">
        <v>27004.63</v>
      </c>
      <c r="C17" s="2">
        <v>78.3</v>
      </c>
      <c r="D17" s="1">
        <f t="shared" si="0"/>
        <v>2114463</v>
      </c>
      <c r="E17" s="2">
        <v>117.5</v>
      </c>
      <c r="F17" s="1">
        <f t="shared" si="1"/>
        <v>3173044</v>
      </c>
      <c r="G17" s="2">
        <v>1.41</v>
      </c>
      <c r="H17" s="1">
        <f t="shared" si="2"/>
        <v>1.41E-2</v>
      </c>
      <c r="I17" s="1">
        <f t="shared" si="3"/>
        <v>5.4810000000000008</v>
      </c>
      <c r="J17" s="1">
        <f t="shared" si="4"/>
        <v>148012</v>
      </c>
      <c r="K17" s="2">
        <v>276000</v>
      </c>
      <c r="L17" s="3">
        <f t="shared" si="5"/>
        <v>109250</v>
      </c>
      <c r="M17" s="2">
        <v>47301</v>
      </c>
      <c r="N17" s="2">
        <v>30</v>
      </c>
      <c r="O17" s="2"/>
      <c r="P17" s="1"/>
      <c r="Q17" s="10" t="str">
        <f t="shared" si="6"/>
        <v>30-04-2018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25">
      <c r="A18" s="1" t="s">
        <v>19</v>
      </c>
      <c r="B18" s="2">
        <v>27078.32</v>
      </c>
      <c r="C18" s="2">
        <v>78.3</v>
      </c>
      <c r="D18" s="1">
        <f t="shared" si="0"/>
        <v>2120232</v>
      </c>
      <c r="E18" s="2">
        <v>117.5</v>
      </c>
      <c r="F18" s="1">
        <f t="shared" si="1"/>
        <v>3181703</v>
      </c>
      <c r="G18" s="2">
        <v>1.41</v>
      </c>
      <c r="H18" s="1">
        <f t="shared" si="2"/>
        <v>1.41E-2</v>
      </c>
      <c r="I18" s="1">
        <f t="shared" si="3"/>
        <v>5.4810000000000008</v>
      </c>
      <c r="J18" s="1">
        <f t="shared" si="4"/>
        <v>148416</v>
      </c>
      <c r="K18" s="2">
        <v>276000</v>
      </c>
      <c r="L18" s="3">
        <f t="shared" si="5"/>
        <v>109250</v>
      </c>
      <c r="M18" s="2">
        <v>47396</v>
      </c>
      <c r="N18" s="2">
        <v>31</v>
      </c>
      <c r="O18" s="2"/>
      <c r="P18" s="1"/>
      <c r="Q18" s="10" t="str">
        <f t="shared" si="6"/>
        <v>31-05-2018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25">
      <c r="A19" s="1" t="s">
        <v>20</v>
      </c>
      <c r="B19" s="2">
        <v>27158.77</v>
      </c>
      <c r="C19" s="2">
        <v>78.3</v>
      </c>
      <c r="D19" s="1">
        <f t="shared" si="0"/>
        <v>2126532</v>
      </c>
      <c r="E19" s="2">
        <v>117.5</v>
      </c>
      <c r="F19" s="1">
        <f t="shared" si="1"/>
        <v>3191155</v>
      </c>
      <c r="G19" s="2">
        <v>1.41</v>
      </c>
      <c r="H19" s="1">
        <f t="shared" si="2"/>
        <v>1.41E-2</v>
      </c>
      <c r="I19" s="1">
        <f t="shared" si="3"/>
        <v>5.4810000000000008</v>
      </c>
      <c r="J19" s="1">
        <f t="shared" si="4"/>
        <v>148857</v>
      </c>
      <c r="K19" s="2">
        <v>276000</v>
      </c>
      <c r="L19" s="3">
        <f t="shared" si="5"/>
        <v>109250</v>
      </c>
      <c r="M19" s="2">
        <v>47538</v>
      </c>
      <c r="N19" s="2">
        <v>30</v>
      </c>
      <c r="O19" s="2"/>
      <c r="P19" s="1"/>
      <c r="Q19" s="10" t="str">
        <f t="shared" si="6"/>
        <v>30-06-2018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25">
      <c r="A20" s="1" t="s">
        <v>21</v>
      </c>
      <c r="B20" s="2">
        <v>27202.48</v>
      </c>
      <c r="C20" s="2">
        <v>78.3</v>
      </c>
      <c r="D20" s="1">
        <f t="shared" si="0"/>
        <v>2129954</v>
      </c>
      <c r="E20" s="2">
        <v>117.5</v>
      </c>
      <c r="F20" s="1">
        <f t="shared" si="1"/>
        <v>3196291</v>
      </c>
      <c r="G20" s="2">
        <v>1.53</v>
      </c>
      <c r="H20" s="1">
        <f t="shared" si="2"/>
        <v>1.5300000000000001E-2</v>
      </c>
      <c r="I20" s="1">
        <f t="shared" si="3"/>
        <v>5.4810000000000008</v>
      </c>
      <c r="J20" s="1">
        <f t="shared" si="4"/>
        <v>149097</v>
      </c>
      <c r="K20" s="2">
        <v>276000</v>
      </c>
      <c r="L20" s="3">
        <f t="shared" si="5"/>
        <v>109250</v>
      </c>
      <c r="M20" s="2">
        <v>47681</v>
      </c>
      <c r="N20" s="2">
        <v>31</v>
      </c>
      <c r="O20" s="2"/>
      <c r="P20" s="1"/>
      <c r="Q20" s="10" t="str">
        <f t="shared" si="6"/>
        <v>31-07-2018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25">
      <c r="A21" s="1" t="s">
        <v>22</v>
      </c>
      <c r="B21" s="2">
        <v>27287.57</v>
      </c>
      <c r="C21" s="2">
        <v>78.3</v>
      </c>
      <c r="D21" s="1">
        <f t="shared" si="0"/>
        <v>2136617</v>
      </c>
      <c r="E21" s="2">
        <v>117.5</v>
      </c>
      <c r="F21" s="1">
        <f t="shared" si="1"/>
        <v>3206289</v>
      </c>
      <c r="G21" s="2">
        <v>1.53</v>
      </c>
      <c r="H21" s="1">
        <f t="shared" si="2"/>
        <v>1.5300000000000001E-2</v>
      </c>
      <c r="I21" s="1">
        <f t="shared" si="3"/>
        <v>5.4810000000000008</v>
      </c>
      <c r="J21" s="1">
        <f t="shared" si="4"/>
        <v>149563</v>
      </c>
      <c r="K21" s="2">
        <v>276000</v>
      </c>
      <c r="L21" s="3">
        <f t="shared" si="5"/>
        <v>109250</v>
      </c>
      <c r="M21" s="2">
        <v>47729</v>
      </c>
      <c r="N21" s="2">
        <v>31</v>
      </c>
      <c r="O21" s="2"/>
      <c r="P21" s="1"/>
      <c r="Q21" s="10" t="str">
        <f t="shared" si="6"/>
        <v>31-08-2018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25">
      <c r="A22" s="1" t="s">
        <v>23</v>
      </c>
      <c r="B22" s="2">
        <v>27357.45</v>
      </c>
      <c r="C22" s="2">
        <v>78.3</v>
      </c>
      <c r="D22" s="1">
        <f t="shared" si="0"/>
        <v>2142088</v>
      </c>
      <c r="E22" s="2">
        <v>117.5</v>
      </c>
      <c r="F22" s="1">
        <f t="shared" si="1"/>
        <v>3214500</v>
      </c>
      <c r="G22" s="2">
        <v>1.53</v>
      </c>
      <c r="H22" s="1">
        <f t="shared" si="2"/>
        <v>1.5300000000000001E-2</v>
      </c>
      <c r="I22" s="1">
        <f t="shared" si="3"/>
        <v>5.4810000000000008</v>
      </c>
      <c r="J22" s="1">
        <f t="shared" si="4"/>
        <v>149946</v>
      </c>
      <c r="K22" s="2">
        <v>288000</v>
      </c>
      <c r="L22" s="3">
        <f t="shared" si="5"/>
        <v>114000</v>
      </c>
      <c r="M22" s="2">
        <v>47920</v>
      </c>
      <c r="N22" s="2">
        <v>30</v>
      </c>
      <c r="O22" s="2"/>
      <c r="P22" s="1"/>
      <c r="Q22" s="10" t="str">
        <f t="shared" si="6"/>
        <v>30-09-2018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25">
      <c r="A23" s="1" t="s">
        <v>24</v>
      </c>
      <c r="B23" s="2">
        <v>27432.1</v>
      </c>
      <c r="C23" s="2">
        <v>78.3</v>
      </c>
      <c r="D23" s="1">
        <f t="shared" si="0"/>
        <v>2147933</v>
      </c>
      <c r="E23" s="2">
        <v>117.5</v>
      </c>
      <c r="F23" s="1">
        <f t="shared" si="1"/>
        <v>3223272</v>
      </c>
      <c r="G23" s="2">
        <v>1.53</v>
      </c>
      <c r="H23" s="1">
        <f t="shared" si="2"/>
        <v>1.5300000000000001E-2</v>
      </c>
      <c r="I23" s="1">
        <f t="shared" si="3"/>
        <v>5.4810000000000008</v>
      </c>
      <c r="J23" s="1">
        <f t="shared" si="4"/>
        <v>150355</v>
      </c>
      <c r="K23" s="2">
        <v>288000</v>
      </c>
      <c r="L23" s="3">
        <f t="shared" si="5"/>
        <v>114000</v>
      </c>
      <c r="M23" s="2">
        <v>48016</v>
      </c>
      <c r="N23" s="2">
        <v>31</v>
      </c>
      <c r="O23" s="2"/>
      <c r="P23" s="1"/>
      <c r="Q23" s="10" t="str">
        <f t="shared" si="6"/>
        <v>31-10-2018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25">
      <c r="A24" s="1" t="s">
        <v>25</v>
      </c>
      <c r="B24" s="2">
        <v>27532.799999999999</v>
      </c>
      <c r="C24" s="2">
        <v>78.3</v>
      </c>
      <c r="D24" s="1">
        <f t="shared" si="0"/>
        <v>2155818</v>
      </c>
      <c r="E24" s="2">
        <v>117.5</v>
      </c>
      <c r="F24" s="1">
        <f t="shared" si="1"/>
        <v>3235104</v>
      </c>
      <c r="G24" s="2">
        <v>1.53</v>
      </c>
      <c r="H24" s="1">
        <f t="shared" si="2"/>
        <v>1.5300000000000001E-2</v>
      </c>
      <c r="I24" s="1">
        <f t="shared" si="3"/>
        <v>5.4810000000000008</v>
      </c>
      <c r="J24" s="1">
        <f t="shared" si="4"/>
        <v>150907</v>
      </c>
      <c r="K24" s="2">
        <v>288000</v>
      </c>
      <c r="L24" s="3">
        <f t="shared" si="5"/>
        <v>114000</v>
      </c>
      <c r="M24" s="2">
        <v>48160</v>
      </c>
      <c r="N24" s="2">
        <v>30</v>
      </c>
      <c r="O24" s="2"/>
      <c r="P24" s="1"/>
      <c r="Q24" s="10" t="str">
        <f t="shared" si="6"/>
        <v>30-11-2018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25">
      <c r="A25" s="1" t="s">
        <v>26</v>
      </c>
      <c r="B25" s="2">
        <v>27565.79</v>
      </c>
      <c r="C25" s="2">
        <v>78.3</v>
      </c>
      <c r="D25" s="1">
        <f t="shared" si="0"/>
        <v>2158401</v>
      </c>
      <c r="E25" s="2">
        <v>117.5</v>
      </c>
      <c r="F25" s="1">
        <f t="shared" si="1"/>
        <v>3238980</v>
      </c>
      <c r="G25" s="2">
        <v>1.53</v>
      </c>
      <c r="H25" s="1">
        <f t="shared" si="2"/>
        <v>1.5300000000000001E-2</v>
      </c>
      <c r="I25" s="1">
        <f t="shared" si="3"/>
        <v>5.4810000000000008</v>
      </c>
      <c r="J25" s="1">
        <f t="shared" si="4"/>
        <v>151088</v>
      </c>
      <c r="K25" s="2">
        <v>288000</v>
      </c>
      <c r="L25" s="3">
        <f t="shared" si="5"/>
        <v>114000</v>
      </c>
      <c r="M25" s="2">
        <v>48353</v>
      </c>
      <c r="N25" s="2">
        <v>31</v>
      </c>
      <c r="O25" s="2"/>
      <c r="P25" s="1"/>
      <c r="Q25" s="10" t="str">
        <f t="shared" si="6"/>
        <v>31-12-2018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25">
      <c r="A26" s="1" t="s">
        <v>27</v>
      </c>
      <c r="B26" s="2">
        <v>27546.22</v>
      </c>
      <c r="C26" s="2">
        <v>79.3</v>
      </c>
      <c r="D26" s="1">
        <f t="shared" si="0"/>
        <v>2184415</v>
      </c>
      <c r="E26" s="2">
        <v>119</v>
      </c>
      <c r="F26" s="1">
        <f t="shared" si="1"/>
        <v>3278000</v>
      </c>
      <c r="G26" s="2">
        <v>1.53</v>
      </c>
      <c r="H26" s="1">
        <f t="shared" si="2"/>
        <v>1.5300000000000001E-2</v>
      </c>
      <c r="I26" s="1">
        <f t="shared" si="3"/>
        <v>5.5510000000000002</v>
      </c>
      <c r="J26" s="1">
        <f t="shared" si="4"/>
        <v>152909</v>
      </c>
      <c r="K26" s="2">
        <v>288000</v>
      </c>
      <c r="L26" s="3">
        <f t="shared" si="5"/>
        <v>114000</v>
      </c>
      <c r="M26" s="2">
        <v>48353</v>
      </c>
      <c r="N26" s="2">
        <v>31</v>
      </c>
      <c r="O26" s="2"/>
      <c r="P26" s="1">
        <f>7-O26</f>
        <v>7</v>
      </c>
      <c r="Q26" s="10" t="str">
        <f t="shared" si="6"/>
        <v>31-01-2019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25">
      <c r="A27" s="1" t="s">
        <v>28</v>
      </c>
      <c r="B27" s="2">
        <v>27556.9</v>
      </c>
      <c r="C27" s="2">
        <v>79.2</v>
      </c>
      <c r="D27" s="1">
        <f t="shared" si="0"/>
        <v>2182506</v>
      </c>
      <c r="E27" s="2">
        <v>118.9</v>
      </c>
      <c r="F27" s="1">
        <f t="shared" si="1"/>
        <v>3276515</v>
      </c>
      <c r="G27" s="2">
        <v>1.53</v>
      </c>
      <c r="H27" s="1">
        <f t="shared" si="2"/>
        <v>1.5300000000000001E-2</v>
      </c>
      <c r="I27" s="1">
        <f t="shared" si="3"/>
        <v>5.5440000000000005</v>
      </c>
      <c r="J27" s="1">
        <f t="shared" si="4"/>
        <v>152775</v>
      </c>
      <c r="K27" s="2">
        <v>288000</v>
      </c>
      <c r="L27" s="3">
        <f t="shared" si="5"/>
        <v>114000</v>
      </c>
      <c r="M27" s="2">
        <v>48305</v>
      </c>
      <c r="N27" s="2">
        <v>28</v>
      </c>
      <c r="O27" s="2"/>
      <c r="P27" s="1">
        <f t="shared" ref="P27:P67" si="7">7-O27</f>
        <v>7</v>
      </c>
      <c r="Q27" s="10" t="str">
        <f t="shared" si="6"/>
        <v>28-02-2019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5">
      <c r="A28" s="1" t="s">
        <v>29</v>
      </c>
      <c r="B28" s="2">
        <v>27565.759999999998</v>
      </c>
      <c r="C28" s="2">
        <v>79.2</v>
      </c>
      <c r="D28" s="1">
        <f t="shared" si="0"/>
        <v>2183208</v>
      </c>
      <c r="E28" s="2">
        <v>118.9</v>
      </c>
      <c r="F28" s="1">
        <f t="shared" si="1"/>
        <v>3277569</v>
      </c>
      <c r="G28" s="2">
        <v>1.53</v>
      </c>
      <c r="H28" s="1">
        <f t="shared" si="2"/>
        <v>1.5300000000000001E-2</v>
      </c>
      <c r="I28" s="1">
        <f t="shared" si="3"/>
        <v>5.5440000000000005</v>
      </c>
      <c r="J28" s="1">
        <f t="shared" si="4"/>
        <v>152825</v>
      </c>
      <c r="K28" s="2">
        <v>301000</v>
      </c>
      <c r="L28" s="3">
        <f t="shared" si="5"/>
        <v>119146</v>
      </c>
      <c r="M28" s="2">
        <v>48353</v>
      </c>
      <c r="N28" s="2">
        <v>31</v>
      </c>
      <c r="O28" s="2"/>
      <c r="P28" s="1">
        <f t="shared" si="7"/>
        <v>7</v>
      </c>
      <c r="Q28" s="10" t="str">
        <f t="shared" si="6"/>
        <v>31-03-2019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5">
      <c r="A29" s="1" t="s">
        <v>30</v>
      </c>
      <c r="B29" s="2">
        <v>27662.17</v>
      </c>
      <c r="C29" s="2">
        <v>79.2</v>
      </c>
      <c r="D29" s="1">
        <f t="shared" si="0"/>
        <v>2190844</v>
      </c>
      <c r="E29" s="2">
        <v>118.9</v>
      </c>
      <c r="F29" s="1">
        <f t="shared" si="1"/>
        <v>3289032</v>
      </c>
      <c r="G29" s="2">
        <v>1.53</v>
      </c>
      <c r="H29" s="1">
        <f t="shared" si="2"/>
        <v>1.5300000000000001E-2</v>
      </c>
      <c r="I29" s="1">
        <f t="shared" si="3"/>
        <v>5.5440000000000005</v>
      </c>
      <c r="J29" s="1">
        <f t="shared" si="4"/>
        <v>153359</v>
      </c>
      <c r="K29" s="2">
        <v>301000</v>
      </c>
      <c r="L29" s="3">
        <f t="shared" si="5"/>
        <v>119146</v>
      </c>
      <c r="M29" s="2">
        <v>48353</v>
      </c>
      <c r="N29" s="2">
        <v>30</v>
      </c>
      <c r="O29" s="2"/>
      <c r="P29" s="1">
        <f t="shared" si="7"/>
        <v>7</v>
      </c>
      <c r="Q29" s="10" t="str">
        <f t="shared" si="6"/>
        <v>30-04-2019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25">
      <c r="A30" s="1" t="s">
        <v>31</v>
      </c>
      <c r="B30" s="2">
        <v>27762.55</v>
      </c>
      <c r="C30" s="2">
        <v>79.2</v>
      </c>
      <c r="D30" s="1">
        <f t="shared" si="0"/>
        <v>2198794</v>
      </c>
      <c r="E30" s="2">
        <v>118.9</v>
      </c>
      <c r="F30" s="1">
        <f t="shared" si="1"/>
        <v>3300967</v>
      </c>
      <c r="G30" s="2">
        <v>1.53</v>
      </c>
      <c r="H30" s="1">
        <f t="shared" si="2"/>
        <v>1.5300000000000001E-2</v>
      </c>
      <c r="I30" s="1">
        <f t="shared" si="3"/>
        <v>5.5440000000000005</v>
      </c>
      <c r="J30" s="1">
        <f t="shared" si="4"/>
        <v>153916</v>
      </c>
      <c r="K30" s="2">
        <v>301000</v>
      </c>
      <c r="L30" s="3">
        <f t="shared" si="5"/>
        <v>119146</v>
      </c>
      <c r="M30" s="2">
        <v>48595</v>
      </c>
      <c r="N30" s="2">
        <v>31</v>
      </c>
      <c r="O30" s="2"/>
      <c r="P30" s="1">
        <f t="shared" si="7"/>
        <v>7</v>
      </c>
      <c r="Q30" s="10" t="str">
        <f t="shared" si="6"/>
        <v>31-05-2019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5">
      <c r="A31" s="1" t="s">
        <v>32</v>
      </c>
      <c r="B31" s="2">
        <v>27903.3</v>
      </c>
      <c r="C31" s="2">
        <v>79.2</v>
      </c>
      <c r="D31" s="1">
        <f t="shared" si="0"/>
        <v>2209941</v>
      </c>
      <c r="E31" s="2">
        <v>118.9</v>
      </c>
      <c r="F31" s="1">
        <f t="shared" si="1"/>
        <v>3317702</v>
      </c>
      <c r="G31" s="2">
        <v>1.53</v>
      </c>
      <c r="H31" s="1">
        <f t="shared" si="2"/>
        <v>1.5300000000000001E-2</v>
      </c>
      <c r="I31" s="1">
        <f t="shared" si="3"/>
        <v>5.5440000000000005</v>
      </c>
      <c r="J31" s="1">
        <f t="shared" si="4"/>
        <v>154696</v>
      </c>
      <c r="K31" s="2">
        <v>301000</v>
      </c>
      <c r="L31" s="3">
        <f t="shared" si="5"/>
        <v>119146</v>
      </c>
      <c r="M31" s="2">
        <v>48741</v>
      </c>
      <c r="N31" s="2">
        <v>30</v>
      </c>
      <c r="O31" s="2"/>
      <c r="P31" s="1">
        <f t="shared" si="7"/>
        <v>7</v>
      </c>
      <c r="Q31" s="10" t="str">
        <f t="shared" si="6"/>
        <v>30-06-2019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1" t="s">
        <v>33</v>
      </c>
      <c r="B32" s="2">
        <v>27953.42</v>
      </c>
      <c r="C32" s="2">
        <v>79.2</v>
      </c>
      <c r="D32" s="1">
        <f t="shared" si="0"/>
        <v>2213911</v>
      </c>
      <c r="E32" s="2">
        <v>118.9</v>
      </c>
      <c r="F32" s="1">
        <f t="shared" si="1"/>
        <v>3323662</v>
      </c>
      <c r="G32" s="2">
        <v>1.53</v>
      </c>
      <c r="H32" s="1">
        <f t="shared" si="2"/>
        <v>1.5300000000000001E-2</v>
      </c>
      <c r="I32" s="1">
        <f t="shared" si="3"/>
        <v>5.5440000000000005</v>
      </c>
      <c r="J32" s="1">
        <f t="shared" si="4"/>
        <v>154974</v>
      </c>
      <c r="K32" s="2">
        <v>301000</v>
      </c>
      <c r="L32" s="3">
        <f t="shared" si="5"/>
        <v>119146</v>
      </c>
      <c r="M32" s="2">
        <v>49033</v>
      </c>
      <c r="N32" s="2">
        <v>31</v>
      </c>
      <c r="O32" s="2"/>
      <c r="P32" s="1">
        <f t="shared" si="7"/>
        <v>7</v>
      </c>
      <c r="Q32" s="10" t="str">
        <f t="shared" si="6"/>
        <v>31-07-2019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1" t="s">
        <v>34</v>
      </c>
      <c r="B33" s="2">
        <v>27993.08</v>
      </c>
      <c r="C33" s="2">
        <v>79.2</v>
      </c>
      <c r="D33" s="1">
        <f t="shared" si="0"/>
        <v>2217052</v>
      </c>
      <c r="E33" s="2">
        <v>118.9</v>
      </c>
      <c r="F33" s="1">
        <f t="shared" si="1"/>
        <v>3328377</v>
      </c>
      <c r="G33" s="2">
        <v>1.53</v>
      </c>
      <c r="H33" s="1">
        <f t="shared" si="2"/>
        <v>1.5300000000000001E-2</v>
      </c>
      <c r="I33" s="1">
        <f t="shared" si="3"/>
        <v>5.5440000000000005</v>
      </c>
      <c r="J33" s="1">
        <f t="shared" si="4"/>
        <v>155194</v>
      </c>
      <c r="K33" s="2">
        <v>301000</v>
      </c>
      <c r="L33" s="3">
        <f t="shared" si="5"/>
        <v>119146</v>
      </c>
      <c r="M33" s="2">
        <v>49033</v>
      </c>
      <c r="N33" s="2">
        <v>31</v>
      </c>
      <c r="O33" s="2"/>
      <c r="P33" s="1">
        <f t="shared" si="7"/>
        <v>7</v>
      </c>
      <c r="Q33" s="10" t="str">
        <f t="shared" si="6"/>
        <v>31-08-2019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1" t="s">
        <v>35</v>
      </c>
      <c r="B34" s="2">
        <v>28048.53</v>
      </c>
      <c r="C34" s="2">
        <v>79.2</v>
      </c>
      <c r="D34" s="1">
        <f t="shared" si="0"/>
        <v>2221444</v>
      </c>
      <c r="E34" s="2">
        <v>118.9</v>
      </c>
      <c r="F34" s="1">
        <f t="shared" si="1"/>
        <v>3334970</v>
      </c>
      <c r="G34" s="2">
        <v>1.53</v>
      </c>
      <c r="H34" s="1">
        <f t="shared" si="2"/>
        <v>1.5300000000000001E-2</v>
      </c>
      <c r="I34" s="1">
        <f t="shared" si="3"/>
        <v>5.5440000000000005</v>
      </c>
      <c r="J34" s="1">
        <f t="shared" si="4"/>
        <v>155501</v>
      </c>
      <c r="K34" s="2">
        <v>301000</v>
      </c>
      <c r="L34" s="3">
        <f t="shared" si="5"/>
        <v>119146</v>
      </c>
      <c r="M34" s="2">
        <v>49131</v>
      </c>
      <c r="N34" s="2">
        <v>30</v>
      </c>
      <c r="O34" s="2"/>
      <c r="P34" s="1">
        <f t="shared" si="7"/>
        <v>7</v>
      </c>
      <c r="Q34" s="10" t="str">
        <f t="shared" si="6"/>
        <v>30-09-2019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1" t="s">
        <v>36</v>
      </c>
      <c r="B35" s="2">
        <v>28065.35</v>
      </c>
      <c r="C35" s="2">
        <v>79.2</v>
      </c>
      <c r="D35" s="1">
        <f t="shared" si="0"/>
        <v>2222776</v>
      </c>
      <c r="E35" s="2">
        <v>118.9</v>
      </c>
      <c r="F35" s="1">
        <f t="shared" si="1"/>
        <v>3336970</v>
      </c>
      <c r="G35" s="2">
        <v>1.53</v>
      </c>
      <c r="H35" s="1">
        <f t="shared" si="2"/>
        <v>1.5300000000000001E-2</v>
      </c>
      <c r="I35" s="1">
        <f t="shared" si="3"/>
        <v>5.5440000000000005</v>
      </c>
      <c r="J35" s="1">
        <f t="shared" si="4"/>
        <v>155594</v>
      </c>
      <c r="K35" s="2">
        <v>301000</v>
      </c>
      <c r="L35" s="3">
        <f t="shared" si="5"/>
        <v>119146</v>
      </c>
      <c r="M35" s="2">
        <v>49229</v>
      </c>
      <c r="N35" s="2">
        <v>31</v>
      </c>
      <c r="O35" s="2"/>
      <c r="P35" s="1">
        <f t="shared" si="7"/>
        <v>7</v>
      </c>
      <c r="Q35" s="10" t="str">
        <f t="shared" si="6"/>
        <v>31-10-2019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1" t="s">
        <v>37</v>
      </c>
      <c r="B36" s="2">
        <v>28222.33</v>
      </c>
      <c r="C36" s="2">
        <v>79.2</v>
      </c>
      <c r="D36" s="1">
        <f t="shared" si="0"/>
        <v>2235209</v>
      </c>
      <c r="E36" s="2">
        <v>118.9</v>
      </c>
      <c r="F36" s="1">
        <f t="shared" si="1"/>
        <v>3355635</v>
      </c>
      <c r="G36" s="2">
        <v>1.53</v>
      </c>
      <c r="H36" s="1">
        <f t="shared" si="2"/>
        <v>1.5300000000000001E-2</v>
      </c>
      <c r="I36" s="1">
        <f t="shared" si="3"/>
        <v>5.5440000000000005</v>
      </c>
      <c r="J36" s="1">
        <f t="shared" si="4"/>
        <v>156465</v>
      </c>
      <c r="K36" s="2">
        <v>301000</v>
      </c>
      <c r="L36" s="3">
        <f t="shared" si="5"/>
        <v>119146</v>
      </c>
      <c r="M36" s="2">
        <v>49229</v>
      </c>
      <c r="N36" s="2">
        <v>30</v>
      </c>
      <c r="O36" s="2"/>
      <c r="P36" s="1">
        <f t="shared" si="7"/>
        <v>7</v>
      </c>
      <c r="Q36" s="10" t="str">
        <f t="shared" si="6"/>
        <v>30-11-2019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1" t="s">
        <v>38</v>
      </c>
      <c r="B37" s="2">
        <v>28309.94</v>
      </c>
      <c r="C37" s="2">
        <v>79.2</v>
      </c>
      <c r="D37" s="1">
        <f t="shared" si="0"/>
        <v>2242147</v>
      </c>
      <c r="E37" s="2">
        <v>118.9</v>
      </c>
      <c r="F37" s="1">
        <f t="shared" si="1"/>
        <v>3366052</v>
      </c>
      <c r="G37" s="2">
        <v>1.53</v>
      </c>
      <c r="H37" s="1">
        <f t="shared" si="2"/>
        <v>1.5300000000000001E-2</v>
      </c>
      <c r="I37" s="1">
        <f t="shared" si="3"/>
        <v>5.5440000000000005</v>
      </c>
      <c r="J37" s="1">
        <f t="shared" si="4"/>
        <v>156950</v>
      </c>
      <c r="K37" s="2">
        <v>301000</v>
      </c>
      <c r="L37" s="3">
        <f t="shared" si="5"/>
        <v>119146</v>
      </c>
      <c r="M37" s="2">
        <v>49623</v>
      </c>
      <c r="N37" s="2">
        <v>31</v>
      </c>
      <c r="O37" s="2"/>
      <c r="P37" s="1">
        <f t="shared" si="7"/>
        <v>7</v>
      </c>
      <c r="Q37" s="10" t="str">
        <f t="shared" si="6"/>
        <v>31-12-2019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1" t="s">
        <v>39</v>
      </c>
      <c r="B38" s="2">
        <v>28338.25</v>
      </c>
      <c r="C38" s="2">
        <v>80.2</v>
      </c>
      <c r="D38" s="1">
        <f t="shared" si="0"/>
        <v>2272728</v>
      </c>
      <c r="E38" s="2">
        <v>120.3</v>
      </c>
      <c r="F38" s="1">
        <f t="shared" si="1"/>
        <v>3409091</v>
      </c>
      <c r="G38" s="2">
        <v>1.53</v>
      </c>
      <c r="H38" s="1">
        <f t="shared" si="2"/>
        <v>1.5300000000000001E-2</v>
      </c>
      <c r="I38" s="1">
        <f t="shared" si="3"/>
        <v>5.6140000000000008</v>
      </c>
      <c r="J38" s="1">
        <f t="shared" si="4"/>
        <v>159091</v>
      </c>
      <c r="K38" s="2">
        <v>301000</v>
      </c>
      <c r="L38" s="3">
        <f t="shared" si="5"/>
        <v>119146</v>
      </c>
      <c r="M38" s="2">
        <v>49673</v>
      </c>
      <c r="N38" s="2">
        <v>31</v>
      </c>
      <c r="O38" s="2"/>
      <c r="P38" s="1">
        <f t="shared" si="7"/>
        <v>7</v>
      </c>
      <c r="Q38" s="10" t="str">
        <f t="shared" si="6"/>
        <v>31-01-2020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1" t="s">
        <v>40</v>
      </c>
      <c r="B39" s="2">
        <v>28463.67</v>
      </c>
      <c r="C39" s="2">
        <v>80.2</v>
      </c>
      <c r="D39" s="1">
        <f t="shared" si="0"/>
        <v>2282786</v>
      </c>
      <c r="E39" s="2">
        <v>120.4</v>
      </c>
      <c r="F39" s="1">
        <f t="shared" si="1"/>
        <v>3427026</v>
      </c>
      <c r="G39" s="2">
        <v>1.53</v>
      </c>
      <c r="H39" s="1">
        <f t="shared" si="2"/>
        <v>1.5300000000000001E-2</v>
      </c>
      <c r="I39" s="1">
        <f t="shared" si="3"/>
        <v>5.6140000000000008</v>
      </c>
      <c r="J39" s="1">
        <f t="shared" si="4"/>
        <v>159795</v>
      </c>
      <c r="K39" s="2">
        <v>301000</v>
      </c>
      <c r="L39" s="3">
        <f t="shared" si="5"/>
        <v>119146</v>
      </c>
      <c r="M39" s="2">
        <v>49723</v>
      </c>
      <c r="N39" s="2">
        <v>28</v>
      </c>
      <c r="O39" s="2"/>
      <c r="P39" s="1">
        <f t="shared" si="7"/>
        <v>7</v>
      </c>
      <c r="Q39" s="10" t="str">
        <f t="shared" si="6"/>
        <v>28-02-2020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1" t="s">
        <v>41</v>
      </c>
      <c r="B40" s="2">
        <v>28597.46</v>
      </c>
      <c r="C40" s="2">
        <v>80.2</v>
      </c>
      <c r="D40" s="1">
        <f t="shared" si="0"/>
        <v>2293516</v>
      </c>
      <c r="E40" s="2">
        <v>120.4</v>
      </c>
      <c r="F40" s="1">
        <f t="shared" si="1"/>
        <v>3443134</v>
      </c>
      <c r="G40" s="2">
        <v>1.53</v>
      </c>
      <c r="H40" s="1">
        <f t="shared" si="2"/>
        <v>1.5300000000000001E-2</v>
      </c>
      <c r="I40" s="1">
        <f t="shared" si="3"/>
        <v>5.6140000000000008</v>
      </c>
      <c r="J40" s="1">
        <f t="shared" si="4"/>
        <v>160546</v>
      </c>
      <c r="K40" s="2">
        <v>320500</v>
      </c>
      <c r="L40" s="3">
        <f t="shared" si="5"/>
        <v>126865</v>
      </c>
      <c r="M40" s="2">
        <v>50021</v>
      </c>
      <c r="N40" s="2">
        <v>31</v>
      </c>
      <c r="O40" s="2"/>
      <c r="P40" s="1">
        <f t="shared" si="7"/>
        <v>7</v>
      </c>
      <c r="Q40" s="10" t="str">
        <f t="shared" si="6"/>
        <v>31-03-2020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1" t="s">
        <v>42</v>
      </c>
      <c r="B41" s="2">
        <v>28690.73</v>
      </c>
      <c r="C41" s="2">
        <v>80.2</v>
      </c>
      <c r="D41" s="1">
        <f t="shared" si="0"/>
        <v>2300997</v>
      </c>
      <c r="E41" s="2">
        <v>120.4</v>
      </c>
      <c r="F41" s="1">
        <f t="shared" si="1"/>
        <v>3454364</v>
      </c>
      <c r="G41" s="2">
        <v>1.53</v>
      </c>
      <c r="H41" s="1">
        <f t="shared" si="2"/>
        <v>1.5300000000000001E-2</v>
      </c>
      <c r="I41" s="1">
        <f t="shared" si="3"/>
        <v>5.6140000000000008</v>
      </c>
      <c r="J41" s="1">
        <f t="shared" si="4"/>
        <v>161070</v>
      </c>
      <c r="K41" s="2">
        <v>320500</v>
      </c>
      <c r="L41" s="3">
        <f t="shared" si="5"/>
        <v>126865</v>
      </c>
      <c r="M41" s="2">
        <v>50221</v>
      </c>
      <c r="N41" s="2">
        <v>30</v>
      </c>
      <c r="O41" s="2"/>
      <c r="P41" s="1">
        <f t="shared" si="7"/>
        <v>7</v>
      </c>
      <c r="Q41" s="10" t="str">
        <f t="shared" si="6"/>
        <v>30-04-2020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5">
      <c r="A42" s="1" t="s">
        <v>43</v>
      </c>
      <c r="B42" s="2">
        <v>28716.52</v>
      </c>
      <c r="C42" s="2">
        <v>80.2</v>
      </c>
      <c r="D42" s="1">
        <f t="shared" si="0"/>
        <v>2303065</v>
      </c>
      <c r="E42" s="2">
        <v>120.4</v>
      </c>
      <c r="F42" s="1">
        <f t="shared" si="1"/>
        <v>3457469</v>
      </c>
      <c r="G42" s="2">
        <v>1.53</v>
      </c>
      <c r="H42" s="1">
        <f t="shared" si="2"/>
        <v>1.5300000000000001E-2</v>
      </c>
      <c r="I42" s="1">
        <f t="shared" si="3"/>
        <v>5.6140000000000008</v>
      </c>
      <c r="J42" s="1">
        <f t="shared" si="4"/>
        <v>161215</v>
      </c>
      <c r="K42" s="2">
        <v>320500</v>
      </c>
      <c r="L42" s="3">
        <f t="shared" si="5"/>
        <v>126865</v>
      </c>
      <c r="M42" s="2">
        <v>50372</v>
      </c>
      <c r="N42" s="2">
        <v>31</v>
      </c>
      <c r="O42" s="2"/>
      <c r="P42" s="1">
        <f t="shared" si="7"/>
        <v>7</v>
      </c>
      <c r="Q42" s="10" t="str">
        <f t="shared" si="6"/>
        <v>31-05-2020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25">
      <c r="A43" s="1" t="s">
        <v>44</v>
      </c>
      <c r="B43" s="2">
        <v>28696.42</v>
      </c>
      <c r="C43" s="2">
        <v>80.2</v>
      </c>
      <c r="D43" s="1">
        <f t="shared" si="0"/>
        <v>2301453</v>
      </c>
      <c r="E43" s="2">
        <v>120.4</v>
      </c>
      <c r="F43" s="1">
        <f t="shared" si="1"/>
        <v>3455049</v>
      </c>
      <c r="G43" s="2">
        <v>1.53</v>
      </c>
      <c r="H43" s="1">
        <f t="shared" si="2"/>
        <v>1.5300000000000001E-2</v>
      </c>
      <c r="I43" s="1">
        <f t="shared" si="3"/>
        <v>5.6140000000000008</v>
      </c>
      <c r="J43" s="1">
        <f t="shared" si="4"/>
        <v>161102</v>
      </c>
      <c r="K43" s="2">
        <v>320500</v>
      </c>
      <c r="L43" s="3">
        <f t="shared" si="5"/>
        <v>126865</v>
      </c>
      <c r="M43" s="2">
        <v>50372</v>
      </c>
      <c r="N43" s="2">
        <v>30</v>
      </c>
      <c r="O43" s="2"/>
      <c r="P43" s="1">
        <f t="shared" si="7"/>
        <v>7</v>
      </c>
      <c r="Q43" s="10" t="str">
        <f t="shared" si="6"/>
        <v>30-06-2020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5">
      <c r="A44" s="1" t="s">
        <v>45</v>
      </c>
      <c r="B44" s="2">
        <v>28667.439999999999</v>
      </c>
      <c r="C44" s="2">
        <v>80.2</v>
      </c>
      <c r="D44" s="1">
        <f t="shared" si="0"/>
        <v>2299129</v>
      </c>
      <c r="E44" s="2">
        <v>120.4</v>
      </c>
      <c r="F44" s="1">
        <f t="shared" si="1"/>
        <v>3451560</v>
      </c>
      <c r="G44" s="2">
        <v>1.99</v>
      </c>
      <c r="H44" s="1">
        <f t="shared" si="2"/>
        <v>1.9900000000000001E-2</v>
      </c>
      <c r="I44" s="1">
        <f t="shared" si="3"/>
        <v>5.6140000000000008</v>
      </c>
      <c r="J44" s="1">
        <f t="shared" si="4"/>
        <v>160939</v>
      </c>
      <c r="K44" s="2">
        <v>320500</v>
      </c>
      <c r="L44" s="3">
        <f t="shared" si="5"/>
        <v>126865</v>
      </c>
      <c r="M44" s="2">
        <v>50322</v>
      </c>
      <c r="N44" s="2">
        <v>31</v>
      </c>
      <c r="O44" s="2"/>
      <c r="P44" s="1">
        <f t="shared" si="7"/>
        <v>7</v>
      </c>
      <c r="Q44" s="10" t="str">
        <f t="shared" si="6"/>
        <v>31-07-2020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25">
      <c r="A45" s="1" t="s">
        <v>46</v>
      </c>
      <c r="B45" s="2">
        <v>28679.45</v>
      </c>
      <c r="C45" s="2">
        <v>80.2</v>
      </c>
      <c r="D45" s="1">
        <f t="shared" si="0"/>
        <v>2300092</v>
      </c>
      <c r="E45" s="2">
        <v>120.4</v>
      </c>
      <c r="F45" s="1">
        <f t="shared" si="1"/>
        <v>3453006</v>
      </c>
      <c r="G45" s="2">
        <v>1.99</v>
      </c>
      <c r="H45" s="1">
        <f t="shared" si="2"/>
        <v>1.9900000000000001E-2</v>
      </c>
      <c r="I45" s="1">
        <f t="shared" si="3"/>
        <v>5.6140000000000008</v>
      </c>
      <c r="J45" s="1">
        <f t="shared" si="4"/>
        <v>161006</v>
      </c>
      <c r="K45" s="2">
        <v>320500</v>
      </c>
      <c r="L45" s="3">
        <f t="shared" si="5"/>
        <v>126865</v>
      </c>
      <c r="M45" s="2">
        <v>50272</v>
      </c>
      <c r="N45" s="2">
        <v>31</v>
      </c>
      <c r="O45" s="2"/>
      <c r="P45" s="1">
        <f t="shared" si="7"/>
        <v>7</v>
      </c>
      <c r="Q45" s="10" t="str">
        <f t="shared" si="6"/>
        <v>31-08-2020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25">
      <c r="A46" s="1" t="s">
        <v>47</v>
      </c>
      <c r="B46" s="2">
        <v>28707.85</v>
      </c>
      <c r="C46" s="2">
        <v>80.2</v>
      </c>
      <c r="D46" s="1">
        <f t="shared" si="0"/>
        <v>2302370</v>
      </c>
      <c r="E46" s="2">
        <v>120.4</v>
      </c>
      <c r="F46" s="1">
        <f t="shared" si="1"/>
        <v>3456425</v>
      </c>
      <c r="G46" s="2">
        <v>1.99</v>
      </c>
      <c r="H46" s="1">
        <f t="shared" si="2"/>
        <v>1.9900000000000001E-2</v>
      </c>
      <c r="I46" s="1">
        <f t="shared" si="3"/>
        <v>5.6140000000000008</v>
      </c>
      <c r="J46" s="1">
        <f t="shared" si="4"/>
        <v>161166</v>
      </c>
      <c r="K46" s="2">
        <v>326500</v>
      </c>
      <c r="L46" s="3">
        <f t="shared" si="5"/>
        <v>129240</v>
      </c>
      <c r="M46" s="2">
        <v>50322</v>
      </c>
      <c r="N46" s="2">
        <v>30</v>
      </c>
      <c r="O46" s="2"/>
      <c r="P46" s="1">
        <f t="shared" si="7"/>
        <v>7</v>
      </c>
      <c r="Q46" s="10" t="str">
        <f t="shared" si="6"/>
        <v>30-09-2020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25">
      <c r="A47" s="1" t="s">
        <v>48</v>
      </c>
      <c r="B47" s="2">
        <v>28838.63</v>
      </c>
      <c r="C47" s="2">
        <v>80.2</v>
      </c>
      <c r="D47" s="1">
        <f t="shared" si="0"/>
        <v>2312858</v>
      </c>
      <c r="E47" s="2">
        <v>120.4</v>
      </c>
      <c r="F47" s="1">
        <f t="shared" si="1"/>
        <v>3472171</v>
      </c>
      <c r="G47" s="2">
        <v>1.99</v>
      </c>
      <c r="H47" s="1">
        <f t="shared" si="2"/>
        <v>1.9900000000000001E-2</v>
      </c>
      <c r="I47" s="1">
        <f t="shared" si="3"/>
        <v>5.6140000000000008</v>
      </c>
      <c r="J47" s="1">
        <f t="shared" si="4"/>
        <v>161900</v>
      </c>
      <c r="K47" s="2">
        <v>326500</v>
      </c>
      <c r="L47" s="3">
        <f t="shared" si="5"/>
        <v>129240</v>
      </c>
      <c r="M47" s="2">
        <v>50372</v>
      </c>
      <c r="N47" s="2">
        <v>31</v>
      </c>
      <c r="O47" s="2"/>
      <c r="P47" s="1">
        <f t="shared" si="7"/>
        <v>7</v>
      </c>
      <c r="Q47" s="10" t="str">
        <f t="shared" si="6"/>
        <v>31-10-2020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25">
      <c r="A48" s="1" t="s">
        <v>49</v>
      </c>
      <c r="B48" s="2">
        <v>29030.17</v>
      </c>
      <c r="C48" s="2">
        <v>80.2</v>
      </c>
      <c r="D48" s="1">
        <f t="shared" si="0"/>
        <v>2328220</v>
      </c>
      <c r="E48" s="2">
        <v>120.4</v>
      </c>
      <c r="F48" s="1">
        <f t="shared" si="1"/>
        <v>3495232</v>
      </c>
      <c r="G48" s="2">
        <v>1.99</v>
      </c>
      <c r="H48" s="1">
        <f t="shared" si="2"/>
        <v>1.9900000000000001E-2</v>
      </c>
      <c r="I48" s="1">
        <f t="shared" si="3"/>
        <v>5.6140000000000008</v>
      </c>
      <c r="J48" s="1">
        <f t="shared" si="4"/>
        <v>162975</v>
      </c>
      <c r="K48" s="2">
        <v>326500</v>
      </c>
      <c r="L48" s="3">
        <f t="shared" si="5"/>
        <v>129240</v>
      </c>
      <c r="M48" s="2">
        <v>50674</v>
      </c>
      <c r="N48" s="2">
        <v>30</v>
      </c>
      <c r="O48" s="2"/>
      <c r="P48" s="1">
        <f t="shared" si="7"/>
        <v>7</v>
      </c>
      <c r="Q48" s="10" t="str">
        <f t="shared" si="6"/>
        <v>30-11-2020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25">
      <c r="A49" s="1" t="s">
        <v>50</v>
      </c>
      <c r="B49" s="2">
        <v>29070.33</v>
      </c>
      <c r="C49" s="2">
        <v>80.2</v>
      </c>
      <c r="D49" s="1">
        <f t="shared" si="0"/>
        <v>2331440</v>
      </c>
      <c r="E49" s="2">
        <v>120.4</v>
      </c>
      <c r="F49" s="1">
        <f t="shared" si="1"/>
        <v>3500068</v>
      </c>
      <c r="G49" s="2">
        <v>1.99</v>
      </c>
      <c r="H49" s="1">
        <f t="shared" si="2"/>
        <v>1.9900000000000001E-2</v>
      </c>
      <c r="I49" s="1">
        <f t="shared" si="3"/>
        <v>5.6140000000000008</v>
      </c>
      <c r="J49" s="1">
        <f t="shared" si="4"/>
        <v>163201</v>
      </c>
      <c r="K49" s="2">
        <v>326500</v>
      </c>
      <c r="L49" s="3">
        <f t="shared" si="5"/>
        <v>129240</v>
      </c>
      <c r="M49" s="2">
        <v>51029</v>
      </c>
      <c r="N49" s="2">
        <v>31</v>
      </c>
      <c r="O49" s="2"/>
      <c r="P49" s="1">
        <f t="shared" si="7"/>
        <v>7</v>
      </c>
      <c r="Q49" s="10" t="str">
        <f t="shared" si="6"/>
        <v>31-12-2020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25">
      <c r="A50" s="1" t="s">
        <v>51</v>
      </c>
      <c r="B50" s="2">
        <v>29123.74</v>
      </c>
      <c r="C50" s="2">
        <v>81.7</v>
      </c>
      <c r="D50" s="1">
        <f t="shared" si="0"/>
        <v>2379410</v>
      </c>
      <c r="E50" s="2">
        <v>122.7</v>
      </c>
      <c r="F50" s="1">
        <f t="shared" si="1"/>
        <v>3573483</v>
      </c>
      <c r="G50" s="2">
        <v>2.2999999999999998</v>
      </c>
      <c r="H50" s="1">
        <f t="shared" si="2"/>
        <v>2.3E-2</v>
      </c>
      <c r="I50" s="1">
        <f t="shared" si="3"/>
        <v>5.7190000000000003</v>
      </c>
      <c r="J50" s="1">
        <f t="shared" si="4"/>
        <v>166559</v>
      </c>
      <c r="K50" s="2">
        <v>326500</v>
      </c>
      <c r="L50" s="3">
        <f t="shared" si="5"/>
        <v>129240</v>
      </c>
      <c r="M50" s="2">
        <v>50978</v>
      </c>
      <c r="N50" s="2">
        <v>31</v>
      </c>
      <c r="O50" s="2"/>
      <c r="P50" s="1">
        <f t="shared" si="7"/>
        <v>7</v>
      </c>
      <c r="Q50" s="10" t="str">
        <f t="shared" si="6"/>
        <v>31-01-2021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25">
      <c r="A51" s="1" t="s">
        <v>52</v>
      </c>
      <c r="B51" s="2">
        <v>29287.38</v>
      </c>
      <c r="C51" s="2">
        <v>81.599999999999994</v>
      </c>
      <c r="D51" s="1">
        <f t="shared" si="0"/>
        <v>2389850</v>
      </c>
      <c r="E51" s="2">
        <v>122.6</v>
      </c>
      <c r="F51" s="1">
        <f t="shared" si="1"/>
        <v>3590633</v>
      </c>
      <c r="G51" s="2">
        <v>2.2999999999999998</v>
      </c>
      <c r="H51" s="1">
        <f t="shared" si="2"/>
        <v>2.3E-2</v>
      </c>
      <c r="I51" s="1">
        <f t="shared" si="3"/>
        <v>5.7119999999999997</v>
      </c>
      <c r="J51" s="1">
        <f t="shared" si="4"/>
        <v>167290</v>
      </c>
      <c r="K51" s="2">
        <v>326500</v>
      </c>
      <c r="L51" s="3">
        <f t="shared" si="5"/>
        <v>129240</v>
      </c>
      <c r="M51" s="2">
        <v>51131</v>
      </c>
      <c r="N51" s="2">
        <v>28</v>
      </c>
      <c r="O51" s="2"/>
      <c r="P51" s="1">
        <f t="shared" si="7"/>
        <v>7</v>
      </c>
      <c r="Q51" s="10" t="str">
        <f t="shared" si="6"/>
        <v>28-02-2021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25">
      <c r="A52" s="1" t="s">
        <v>53</v>
      </c>
      <c r="B52" s="2">
        <v>29394.77</v>
      </c>
      <c r="C52" s="2">
        <v>81.599999999999994</v>
      </c>
      <c r="D52" s="1">
        <f t="shared" si="0"/>
        <v>2398613</v>
      </c>
      <c r="E52" s="2">
        <v>122.6</v>
      </c>
      <c r="F52" s="1">
        <f t="shared" si="1"/>
        <v>3603799</v>
      </c>
      <c r="G52" s="2">
        <v>2.2999999999999998</v>
      </c>
      <c r="H52" s="1">
        <f t="shared" si="2"/>
        <v>2.3E-2</v>
      </c>
      <c r="I52" s="1">
        <f t="shared" si="3"/>
        <v>5.7119999999999997</v>
      </c>
      <c r="J52" s="1">
        <f t="shared" si="4"/>
        <v>167903</v>
      </c>
      <c r="K52" s="2">
        <v>326500</v>
      </c>
      <c r="L52" s="3">
        <f t="shared" si="5"/>
        <v>129240</v>
      </c>
      <c r="M52" s="2">
        <v>51489</v>
      </c>
      <c r="N52" s="2">
        <v>31</v>
      </c>
      <c r="O52" s="2"/>
      <c r="P52" s="1">
        <f t="shared" si="7"/>
        <v>7</v>
      </c>
      <c r="Q52" s="10" t="str">
        <f t="shared" si="6"/>
        <v>31-03-2021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5">
      <c r="A53" s="1" t="s">
        <v>54</v>
      </c>
      <c r="B53" s="2">
        <v>29494.13</v>
      </c>
      <c r="C53" s="2">
        <v>81.599999999999994</v>
      </c>
      <c r="D53" s="1">
        <f t="shared" si="0"/>
        <v>2406721</v>
      </c>
      <c r="E53" s="2">
        <v>122.6</v>
      </c>
      <c r="F53" s="1">
        <f t="shared" si="1"/>
        <v>3615980</v>
      </c>
      <c r="G53" s="2">
        <v>1.94</v>
      </c>
      <c r="H53" s="1">
        <f t="shared" si="2"/>
        <v>1.9400000000000001E-2</v>
      </c>
      <c r="I53" s="1">
        <f t="shared" si="3"/>
        <v>5.7119999999999997</v>
      </c>
      <c r="J53" s="1">
        <f t="shared" si="4"/>
        <v>168470</v>
      </c>
      <c r="K53" s="2">
        <v>326500</v>
      </c>
      <c r="L53" s="3">
        <f t="shared" si="5"/>
        <v>129240</v>
      </c>
      <c r="M53" s="2">
        <v>51592</v>
      </c>
      <c r="N53" s="2">
        <v>30</v>
      </c>
      <c r="O53" s="2"/>
      <c r="P53" s="1">
        <f t="shared" si="7"/>
        <v>7</v>
      </c>
      <c r="Q53" s="10" t="str">
        <f t="shared" si="6"/>
        <v>30-04-2021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5">
      <c r="A54" s="1" t="s">
        <v>55</v>
      </c>
      <c r="B54" s="2">
        <v>29613.26</v>
      </c>
      <c r="C54" s="2">
        <v>81.599999999999994</v>
      </c>
      <c r="D54" s="1">
        <f t="shared" si="0"/>
        <v>2416442</v>
      </c>
      <c r="E54" s="2">
        <v>122.6</v>
      </c>
      <c r="F54" s="1">
        <f t="shared" si="1"/>
        <v>3630586</v>
      </c>
      <c r="G54" s="2">
        <v>1.94</v>
      </c>
      <c r="H54" s="1">
        <f t="shared" si="2"/>
        <v>1.9400000000000001E-2</v>
      </c>
      <c r="I54" s="1">
        <f t="shared" si="3"/>
        <v>5.7119999999999997</v>
      </c>
      <c r="J54" s="1">
        <f t="shared" si="4"/>
        <v>169151</v>
      </c>
      <c r="K54" s="2">
        <v>326500</v>
      </c>
      <c r="L54" s="3">
        <f t="shared" si="5"/>
        <v>129240</v>
      </c>
      <c r="M54" s="2">
        <v>51798</v>
      </c>
      <c r="N54" s="2">
        <v>31</v>
      </c>
      <c r="O54" s="2"/>
      <c r="P54" s="1">
        <f t="shared" si="7"/>
        <v>7</v>
      </c>
      <c r="Q54" s="10" t="str">
        <f t="shared" si="6"/>
        <v>31-05-2021</v>
      </c>
      <c r="R54" s="2">
        <v>0</v>
      </c>
      <c r="S54" s="2">
        <v>0</v>
      </c>
      <c r="T54" s="2">
        <v>0</v>
      </c>
      <c r="U54" s="2">
        <v>0</v>
      </c>
    </row>
    <row r="55" spans="1:21" x14ac:dyDescent="0.25">
      <c r="A55" s="1" t="s">
        <v>56</v>
      </c>
      <c r="B55" s="2">
        <v>29709.83</v>
      </c>
      <c r="C55" s="2">
        <v>81.599999999999994</v>
      </c>
      <c r="D55" s="1">
        <f t="shared" si="0"/>
        <v>2424322</v>
      </c>
      <c r="E55" s="2">
        <v>122.6</v>
      </c>
      <c r="F55" s="1">
        <f t="shared" si="1"/>
        <v>3642425</v>
      </c>
      <c r="G55" s="2">
        <v>1.94</v>
      </c>
      <c r="H55" s="1">
        <f t="shared" si="2"/>
        <v>1.9400000000000001E-2</v>
      </c>
      <c r="I55" s="1">
        <f t="shared" si="3"/>
        <v>5.7119999999999997</v>
      </c>
      <c r="J55" s="1">
        <f t="shared" si="4"/>
        <v>169703</v>
      </c>
      <c r="K55" s="2">
        <v>326500</v>
      </c>
      <c r="L55" s="3">
        <f t="shared" si="5"/>
        <v>129240</v>
      </c>
      <c r="M55" s="2">
        <v>52005</v>
      </c>
      <c r="N55" s="2">
        <v>30</v>
      </c>
      <c r="O55" s="2"/>
      <c r="P55" s="1">
        <f t="shared" si="7"/>
        <v>7</v>
      </c>
      <c r="Q55" s="10" t="str">
        <f t="shared" si="6"/>
        <v>30-06-2021</v>
      </c>
      <c r="R55" s="2">
        <v>0</v>
      </c>
      <c r="S55" s="2">
        <v>0</v>
      </c>
      <c r="T55" s="2">
        <v>0</v>
      </c>
      <c r="U55" s="2">
        <v>0</v>
      </c>
    </row>
    <row r="56" spans="1:21" x14ac:dyDescent="0.25">
      <c r="A56" s="1" t="s">
        <v>57</v>
      </c>
      <c r="B56" s="2">
        <v>29757.64</v>
      </c>
      <c r="C56" s="2">
        <v>81.599999999999994</v>
      </c>
      <c r="D56" s="1">
        <f t="shared" si="0"/>
        <v>2428223</v>
      </c>
      <c r="E56" s="2">
        <v>122.6</v>
      </c>
      <c r="F56" s="1">
        <f t="shared" si="1"/>
        <v>3648287</v>
      </c>
      <c r="G56" s="2">
        <v>2.21</v>
      </c>
      <c r="H56" s="1">
        <f t="shared" si="2"/>
        <v>2.2099999999999998E-2</v>
      </c>
      <c r="I56" s="1">
        <f t="shared" si="3"/>
        <v>5.7119999999999997</v>
      </c>
      <c r="J56" s="1">
        <f t="shared" si="4"/>
        <v>169976</v>
      </c>
      <c r="K56" s="2">
        <v>337000</v>
      </c>
      <c r="L56" s="3">
        <f t="shared" si="5"/>
        <v>133396</v>
      </c>
      <c r="M56" s="2">
        <v>52161</v>
      </c>
      <c r="N56" s="2">
        <v>31</v>
      </c>
      <c r="O56" s="2"/>
      <c r="P56" s="1">
        <f t="shared" si="7"/>
        <v>7</v>
      </c>
      <c r="Q56" s="10" t="str">
        <f t="shared" si="6"/>
        <v>31-07-2021</v>
      </c>
      <c r="R56" s="2">
        <v>0</v>
      </c>
      <c r="S56" s="2">
        <v>0</v>
      </c>
      <c r="T56" s="2">
        <v>0</v>
      </c>
      <c r="U56" s="2">
        <v>0</v>
      </c>
    </row>
    <row r="57" spans="1:21" x14ac:dyDescent="0.25">
      <c r="A57" s="1" t="s">
        <v>58</v>
      </c>
      <c r="B57" s="2">
        <v>29935.08</v>
      </c>
      <c r="C57" s="2">
        <v>81.599999999999994</v>
      </c>
      <c r="D57" s="1">
        <f t="shared" si="0"/>
        <v>2442703</v>
      </c>
      <c r="E57" s="2">
        <v>122.6</v>
      </c>
      <c r="F57" s="1">
        <f t="shared" si="1"/>
        <v>3670041</v>
      </c>
      <c r="G57" s="2">
        <v>2.21</v>
      </c>
      <c r="H57" s="1">
        <f t="shared" si="2"/>
        <v>2.2099999999999998E-2</v>
      </c>
      <c r="I57" s="1">
        <f t="shared" si="3"/>
        <v>5.7119999999999997</v>
      </c>
      <c r="J57" s="1">
        <f t="shared" si="4"/>
        <v>170989</v>
      </c>
      <c r="K57" s="2">
        <v>337000</v>
      </c>
      <c r="L57" s="3">
        <f t="shared" si="5"/>
        <v>133396</v>
      </c>
      <c r="M57" s="2">
        <v>52213</v>
      </c>
      <c r="N57" s="2">
        <v>31</v>
      </c>
      <c r="O57" s="2"/>
      <c r="P57" s="1">
        <f t="shared" si="7"/>
        <v>7</v>
      </c>
      <c r="Q57" s="10" t="str">
        <f t="shared" si="6"/>
        <v>31-08-2021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25">
      <c r="A58" s="1" t="s">
        <v>59</v>
      </c>
      <c r="B58" s="2">
        <v>30088.37</v>
      </c>
      <c r="C58" s="2">
        <v>81.599999999999994</v>
      </c>
      <c r="D58" s="1">
        <f t="shared" si="0"/>
        <v>2455211</v>
      </c>
      <c r="E58" s="2">
        <v>122.6</v>
      </c>
      <c r="F58" s="1">
        <f t="shared" si="1"/>
        <v>3688834</v>
      </c>
      <c r="G58" s="2">
        <v>2.21</v>
      </c>
      <c r="H58" s="1">
        <f t="shared" si="2"/>
        <v>2.2099999999999998E-2</v>
      </c>
      <c r="I58" s="1">
        <f t="shared" si="3"/>
        <v>5.7119999999999997</v>
      </c>
      <c r="J58" s="1">
        <f t="shared" si="4"/>
        <v>171865</v>
      </c>
      <c r="K58" s="2">
        <v>337000</v>
      </c>
      <c r="L58" s="3">
        <f t="shared" si="5"/>
        <v>133396</v>
      </c>
      <c r="M58" s="2">
        <v>52631</v>
      </c>
      <c r="N58" s="2">
        <v>30</v>
      </c>
      <c r="O58" s="2"/>
      <c r="P58" s="1">
        <f t="shared" si="7"/>
        <v>7</v>
      </c>
      <c r="Q58" s="10" t="str">
        <f t="shared" si="6"/>
        <v>30-09-2021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25">
      <c r="A59" s="1" t="s">
        <v>60</v>
      </c>
      <c r="B59" s="2">
        <v>30380.53</v>
      </c>
      <c r="C59" s="2">
        <v>81.599999999999994</v>
      </c>
      <c r="D59" s="1">
        <f t="shared" si="0"/>
        <v>2479051</v>
      </c>
      <c r="E59" s="2">
        <v>122.6</v>
      </c>
      <c r="F59" s="1">
        <f t="shared" si="1"/>
        <v>3724653</v>
      </c>
      <c r="G59" s="2">
        <v>1.85</v>
      </c>
      <c r="H59" s="1">
        <f t="shared" si="2"/>
        <v>1.8500000000000003E-2</v>
      </c>
      <c r="I59" s="1">
        <f t="shared" si="3"/>
        <v>5.7119999999999997</v>
      </c>
      <c r="J59" s="1">
        <f t="shared" si="4"/>
        <v>173534</v>
      </c>
      <c r="K59" s="2">
        <v>337000</v>
      </c>
      <c r="L59" s="3">
        <f t="shared" si="5"/>
        <v>133396</v>
      </c>
      <c r="M59" s="2">
        <v>52842</v>
      </c>
      <c r="N59" s="2">
        <v>31</v>
      </c>
      <c r="O59" s="2"/>
      <c r="P59" s="1">
        <f t="shared" si="7"/>
        <v>7</v>
      </c>
      <c r="Q59" s="10" t="str">
        <f t="shared" si="6"/>
        <v>31-10-2021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25">
      <c r="A60" s="1" t="s">
        <v>61</v>
      </c>
      <c r="B60" s="2">
        <v>30762.799999999999</v>
      </c>
      <c r="C60" s="2">
        <v>81.599999999999994</v>
      </c>
      <c r="D60" s="1">
        <f t="shared" si="0"/>
        <v>2510244</v>
      </c>
      <c r="E60" s="2">
        <v>122.6</v>
      </c>
      <c r="F60" s="1">
        <f t="shared" si="1"/>
        <v>3771519</v>
      </c>
      <c r="G60" s="2">
        <v>1.85</v>
      </c>
      <c r="H60" s="1">
        <f t="shared" si="2"/>
        <v>1.8500000000000003E-2</v>
      </c>
      <c r="I60" s="1">
        <f t="shared" si="3"/>
        <v>5.7119999999999997</v>
      </c>
      <c r="J60" s="1">
        <f t="shared" si="4"/>
        <v>175717</v>
      </c>
      <c r="K60" s="2">
        <v>337000</v>
      </c>
      <c r="L60" s="3">
        <f t="shared" si="5"/>
        <v>133396</v>
      </c>
      <c r="M60" s="2">
        <v>53476</v>
      </c>
      <c r="N60" s="2">
        <v>30</v>
      </c>
      <c r="O60" s="2"/>
      <c r="P60" s="1">
        <f t="shared" si="7"/>
        <v>7</v>
      </c>
      <c r="Q60" s="10" t="str">
        <f t="shared" si="6"/>
        <v>30-11-2021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5">
      <c r="A61" s="1" t="s">
        <v>62</v>
      </c>
      <c r="B61" s="7">
        <v>30991.74</v>
      </c>
      <c r="C61" s="2">
        <v>81.599999999999994</v>
      </c>
      <c r="D61" s="1">
        <f t="shared" si="0"/>
        <v>2528926</v>
      </c>
      <c r="E61" s="2">
        <v>122.6</v>
      </c>
      <c r="F61" s="1">
        <f t="shared" si="1"/>
        <v>3799587</v>
      </c>
      <c r="G61" s="2">
        <v>1.85</v>
      </c>
      <c r="H61" s="1">
        <f t="shared" si="2"/>
        <v>1.8500000000000003E-2</v>
      </c>
      <c r="I61" s="1">
        <f t="shared" si="3"/>
        <v>5.7119999999999997</v>
      </c>
      <c r="J61" s="1">
        <f t="shared" si="4"/>
        <v>177025</v>
      </c>
      <c r="K61" s="2">
        <v>337000</v>
      </c>
      <c r="L61" s="3">
        <f t="shared" si="5"/>
        <v>133396</v>
      </c>
      <c r="M61" s="2">
        <v>54171</v>
      </c>
      <c r="N61" s="2">
        <v>31</v>
      </c>
      <c r="O61" s="2"/>
      <c r="P61" s="1">
        <f t="shared" si="7"/>
        <v>7</v>
      </c>
      <c r="Q61" s="10" t="str">
        <f t="shared" si="6"/>
        <v>31-12-2021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5">
      <c r="A62" s="1" t="s">
        <v>63</v>
      </c>
      <c r="B62" s="6">
        <v>31212.65</v>
      </c>
      <c r="C62" s="2">
        <v>81.599999999999994</v>
      </c>
      <c r="D62" s="1">
        <f t="shared" si="0"/>
        <v>2546952</v>
      </c>
      <c r="E62" s="2">
        <v>122.6</v>
      </c>
      <c r="F62" s="1">
        <f t="shared" si="1"/>
        <v>3826671</v>
      </c>
      <c r="G62" s="2">
        <v>1.85</v>
      </c>
      <c r="H62" s="1">
        <f t="shared" si="2"/>
        <v>1.8500000000000003E-2</v>
      </c>
      <c r="I62" s="1">
        <f t="shared" si="3"/>
        <v>5.7119999999999997</v>
      </c>
      <c r="J62" s="1">
        <f t="shared" si="4"/>
        <v>178287</v>
      </c>
      <c r="K62" s="2">
        <v>350000</v>
      </c>
      <c r="L62" s="3">
        <f t="shared" si="5"/>
        <v>138542</v>
      </c>
      <c r="M62" s="2">
        <v>54442</v>
      </c>
      <c r="N62" s="2">
        <v>31</v>
      </c>
      <c r="O62" s="2"/>
      <c r="P62" s="1">
        <f t="shared" si="7"/>
        <v>7</v>
      </c>
      <c r="Q62" s="10" t="str">
        <f t="shared" si="6"/>
        <v>31-01-2022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25">
      <c r="A63" s="1" t="s">
        <v>64</v>
      </c>
      <c r="B63" s="6">
        <v>31539.200000000001</v>
      </c>
      <c r="C63" s="2">
        <v>81.599999999999994</v>
      </c>
      <c r="D63" s="1">
        <f t="shared" si="0"/>
        <v>2573599</v>
      </c>
      <c r="E63" s="2">
        <v>122.6</v>
      </c>
      <c r="F63" s="1">
        <f t="shared" si="1"/>
        <v>3866706</v>
      </c>
      <c r="G63" s="2">
        <v>1.85</v>
      </c>
      <c r="H63" s="1">
        <f t="shared" si="2"/>
        <v>1.8500000000000003E-2</v>
      </c>
      <c r="I63" s="1">
        <f t="shared" si="3"/>
        <v>5.7119999999999997</v>
      </c>
      <c r="J63" s="1">
        <f t="shared" si="4"/>
        <v>180152</v>
      </c>
      <c r="K63" s="2">
        <v>350000</v>
      </c>
      <c r="L63" s="3">
        <f t="shared" si="5"/>
        <v>138542</v>
      </c>
      <c r="M63" s="2">
        <v>54878</v>
      </c>
      <c r="N63" s="2">
        <v>28</v>
      </c>
      <c r="O63" s="2"/>
      <c r="P63" s="1">
        <f t="shared" si="7"/>
        <v>7</v>
      </c>
      <c r="Q63" s="10" t="str">
        <f t="shared" si="6"/>
        <v>28-02-2022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5">
      <c r="A64" s="1" t="s">
        <v>65</v>
      </c>
      <c r="B64" s="6">
        <v>31727.74</v>
      </c>
      <c r="C64" s="2">
        <v>81.599999999999994</v>
      </c>
      <c r="D64" s="1">
        <f t="shared" si="0"/>
        <v>2588984</v>
      </c>
      <c r="E64" s="2">
        <v>122.6</v>
      </c>
      <c r="F64" s="1">
        <f t="shared" si="1"/>
        <v>3889821</v>
      </c>
      <c r="G64" s="2">
        <v>1.85</v>
      </c>
      <c r="H64" s="1">
        <f t="shared" si="2"/>
        <v>1.8500000000000003E-2</v>
      </c>
      <c r="I64" s="1">
        <f t="shared" si="3"/>
        <v>5.7119999999999997</v>
      </c>
      <c r="J64" s="1">
        <f t="shared" si="4"/>
        <v>181229</v>
      </c>
      <c r="K64" s="2">
        <v>350000</v>
      </c>
      <c r="L64" s="3">
        <f t="shared" si="5"/>
        <v>138542</v>
      </c>
      <c r="M64" s="2">
        <v>55537</v>
      </c>
      <c r="N64" s="2">
        <v>31</v>
      </c>
      <c r="O64" s="2"/>
      <c r="P64" s="1">
        <f t="shared" si="7"/>
        <v>7</v>
      </c>
      <c r="Q64" s="10" t="str">
        <f t="shared" si="6"/>
        <v>31-03-2022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25">
      <c r="A65" s="1" t="s">
        <v>66</v>
      </c>
      <c r="B65" s="6">
        <v>32176.49</v>
      </c>
      <c r="C65" s="2">
        <v>81.599999999999994</v>
      </c>
      <c r="D65" s="1">
        <f t="shared" si="0"/>
        <v>2625602</v>
      </c>
      <c r="E65" s="2">
        <v>122.6</v>
      </c>
      <c r="F65" s="1">
        <f t="shared" si="1"/>
        <v>3944838</v>
      </c>
      <c r="G65" s="2">
        <v>1.86</v>
      </c>
      <c r="H65" s="1">
        <f t="shared" si="2"/>
        <v>1.8600000000000002E-2</v>
      </c>
      <c r="I65" s="1">
        <f t="shared" si="3"/>
        <v>5.7119999999999997</v>
      </c>
      <c r="J65" s="1">
        <f t="shared" si="4"/>
        <v>183792</v>
      </c>
      <c r="K65" s="2">
        <v>350000</v>
      </c>
      <c r="L65" s="3">
        <f t="shared" si="5"/>
        <v>138542</v>
      </c>
      <c r="M65" s="2">
        <v>55704</v>
      </c>
      <c r="N65" s="2">
        <v>30</v>
      </c>
      <c r="O65" s="2"/>
      <c r="P65" s="1">
        <f t="shared" si="7"/>
        <v>7</v>
      </c>
      <c r="Q65" s="10" t="str">
        <f t="shared" si="6"/>
        <v>30-04-2022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25">
      <c r="A66" s="1" t="s">
        <v>67</v>
      </c>
      <c r="B66" s="6">
        <v>32679.54</v>
      </c>
      <c r="C66" s="2">
        <v>81.599999999999994</v>
      </c>
      <c r="D66" s="1">
        <f t="shared" si="0"/>
        <v>2666650</v>
      </c>
      <c r="E66" s="2">
        <v>122.6</v>
      </c>
      <c r="F66" s="1">
        <f t="shared" si="1"/>
        <v>4006512</v>
      </c>
      <c r="G66" s="2">
        <v>1.86</v>
      </c>
      <c r="H66" s="1">
        <f t="shared" si="2"/>
        <v>1.8600000000000002E-2</v>
      </c>
      <c r="I66" s="1">
        <f t="shared" si="3"/>
        <v>5.7119999999999997</v>
      </c>
      <c r="J66" s="1">
        <f t="shared" si="4"/>
        <v>186666</v>
      </c>
      <c r="K66" s="2">
        <v>380000</v>
      </c>
      <c r="L66" s="3">
        <f t="shared" si="5"/>
        <v>150417</v>
      </c>
      <c r="M66" s="2">
        <v>56762</v>
      </c>
      <c r="N66" s="2">
        <v>31</v>
      </c>
      <c r="O66" s="2"/>
      <c r="P66" s="1">
        <f t="shared" si="7"/>
        <v>7</v>
      </c>
      <c r="Q66" s="10" t="str">
        <f t="shared" si="6"/>
        <v>31-05-2022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25">
      <c r="A67" s="1" t="s">
        <v>68</v>
      </c>
      <c r="B67" s="6">
        <v>33086.83</v>
      </c>
      <c r="C67" s="2">
        <v>81.599999999999994</v>
      </c>
      <c r="D67" s="1">
        <f t="shared" ref="D67:D121" si="8">ROUND(B67*C67,0)</f>
        <v>2699885</v>
      </c>
      <c r="E67" s="2">
        <v>122.6</v>
      </c>
      <c r="F67" s="1">
        <f t="shared" ref="F67:F121" si="9">ROUND(B67*E67,0)</f>
        <v>4056445</v>
      </c>
      <c r="G67" s="2">
        <v>1.86</v>
      </c>
      <c r="H67" s="1">
        <f t="shared" ref="H67:H113" si="10">G67/100</f>
        <v>1.8600000000000002E-2</v>
      </c>
      <c r="I67" s="1">
        <f t="shared" ref="I67:I113" si="11">+C67*0.07</f>
        <v>5.7119999999999997</v>
      </c>
      <c r="J67" s="1">
        <f t="shared" ref="J67:J113" si="12">ROUND(B67*I67,0)</f>
        <v>188992</v>
      </c>
      <c r="K67" s="2">
        <v>380000</v>
      </c>
      <c r="L67" s="3">
        <f t="shared" ref="L67:L121" si="13">ROUND((K67*4.75)/12,0)</f>
        <v>150417</v>
      </c>
      <c r="M67" s="2">
        <v>57557</v>
      </c>
      <c r="N67" s="2">
        <v>30</v>
      </c>
      <c r="O67" s="2"/>
      <c r="P67" s="1">
        <f t="shared" si="7"/>
        <v>7</v>
      </c>
      <c r="Q67" s="10" t="str">
        <f t="shared" ref="Q67:Q97" si="14">_xlfn.CONCAT(N67,"-",RIGHT(A67,2),"-",LEFT(A67,4))</f>
        <v>30-06-2022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25">
      <c r="A68" s="1" t="s">
        <v>69</v>
      </c>
      <c r="B68" s="2">
        <v>33417.26</v>
      </c>
      <c r="C68" s="2">
        <v>81.599999999999994</v>
      </c>
      <c r="D68" s="1">
        <f t="shared" si="8"/>
        <v>2726848</v>
      </c>
      <c r="E68" s="2">
        <v>122.6</v>
      </c>
      <c r="F68" s="1">
        <f t="shared" si="9"/>
        <v>4096956</v>
      </c>
      <c r="G68" s="2">
        <v>1.84</v>
      </c>
      <c r="H68" s="1">
        <f t="shared" si="10"/>
        <v>1.84E-2</v>
      </c>
      <c r="I68" s="1">
        <f t="shared" si="11"/>
        <v>5.7119999999999997</v>
      </c>
      <c r="J68" s="1">
        <f t="shared" si="12"/>
        <v>190879</v>
      </c>
      <c r="K68" s="2">
        <v>380000</v>
      </c>
      <c r="L68" s="3">
        <f t="shared" si="13"/>
        <v>150417</v>
      </c>
      <c r="M68" s="2">
        <v>58248</v>
      </c>
      <c r="N68" s="2">
        <v>31</v>
      </c>
      <c r="O68" s="2">
        <v>6.45</v>
      </c>
      <c r="P68" s="1">
        <v>0.55000000000000004</v>
      </c>
      <c r="Q68" s="10" t="str">
        <f t="shared" si="14"/>
        <v>31-07-2022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25">
      <c r="A69" s="1" t="s">
        <v>70</v>
      </c>
      <c r="B69" s="2">
        <v>33836.51</v>
      </c>
      <c r="C69" s="2">
        <v>81.599999999999994</v>
      </c>
      <c r="D69" s="1">
        <f t="shared" si="8"/>
        <v>2761059</v>
      </c>
      <c r="E69" s="2">
        <v>122.6</v>
      </c>
      <c r="F69" s="1">
        <f t="shared" si="9"/>
        <v>4148356</v>
      </c>
      <c r="G69" s="2">
        <v>1.84</v>
      </c>
      <c r="H69" s="1">
        <f t="shared" si="10"/>
        <v>1.84E-2</v>
      </c>
      <c r="I69" s="1">
        <f t="shared" si="11"/>
        <v>5.7119999999999997</v>
      </c>
      <c r="J69" s="1">
        <f t="shared" si="12"/>
        <v>193274</v>
      </c>
      <c r="K69" s="2">
        <v>400000</v>
      </c>
      <c r="L69" s="3">
        <f t="shared" si="13"/>
        <v>158333</v>
      </c>
      <c r="M69" s="2">
        <v>58772</v>
      </c>
      <c r="N69" s="2">
        <v>31</v>
      </c>
      <c r="O69" s="2">
        <v>6.45</v>
      </c>
      <c r="P69" s="1">
        <v>0.55000000000000004</v>
      </c>
      <c r="Q69" s="10" t="str">
        <f t="shared" si="14"/>
        <v>31-08-2022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25">
      <c r="A70" s="1" t="s">
        <v>71</v>
      </c>
      <c r="B70" s="2">
        <v>34258.230000000003</v>
      </c>
      <c r="C70" s="2">
        <v>81.599999999999994</v>
      </c>
      <c r="D70" s="1">
        <f t="shared" si="8"/>
        <v>2795472</v>
      </c>
      <c r="E70" s="2">
        <v>122.6</v>
      </c>
      <c r="F70" s="1">
        <f t="shared" si="9"/>
        <v>4200059</v>
      </c>
      <c r="G70" s="2">
        <v>1.84</v>
      </c>
      <c r="H70" s="1">
        <f t="shared" si="10"/>
        <v>1.84E-2</v>
      </c>
      <c r="I70" s="1">
        <f t="shared" si="11"/>
        <v>5.7119999999999997</v>
      </c>
      <c r="J70" s="1">
        <f t="shared" si="12"/>
        <v>195683</v>
      </c>
      <c r="K70" s="2">
        <v>400000</v>
      </c>
      <c r="L70" s="3">
        <f t="shared" si="13"/>
        <v>158333</v>
      </c>
      <c r="M70" s="2">
        <v>59595</v>
      </c>
      <c r="N70" s="2">
        <v>30</v>
      </c>
      <c r="O70" s="2">
        <v>6.45</v>
      </c>
      <c r="P70" s="1">
        <v>0.55000000000000004</v>
      </c>
      <c r="Q70" s="10" t="str">
        <f t="shared" si="14"/>
        <v>30-09-2022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25">
      <c r="A71" s="1" t="s">
        <v>72</v>
      </c>
      <c r="B71" s="2">
        <v>34600.35</v>
      </c>
      <c r="C71" s="2">
        <v>81.599999999999994</v>
      </c>
      <c r="D71" s="1">
        <f t="shared" si="8"/>
        <v>2823389</v>
      </c>
      <c r="E71" s="2">
        <v>122.6</v>
      </c>
      <c r="F71" s="1">
        <f t="shared" si="9"/>
        <v>4242003</v>
      </c>
      <c r="G71" s="2">
        <v>1.54</v>
      </c>
      <c r="H71" s="1">
        <f t="shared" si="10"/>
        <v>1.54E-2</v>
      </c>
      <c r="I71" s="1">
        <f t="shared" si="11"/>
        <v>5.7119999999999997</v>
      </c>
      <c r="J71" s="1">
        <f t="shared" si="12"/>
        <v>197637</v>
      </c>
      <c r="K71" s="2">
        <v>400000</v>
      </c>
      <c r="L71" s="3">
        <f t="shared" si="13"/>
        <v>158333</v>
      </c>
      <c r="M71" s="2">
        <v>60310</v>
      </c>
      <c r="N71" s="2">
        <v>31</v>
      </c>
      <c r="O71" s="2">
        <v>6.45</v>
      </c>
      <c r="P71" s="1">
        <v>0.55000000000000004</v>
      </c>
      <c r="Q71" s="10" t="str">
        <f t="shared" si="14"/>
        <v>31-10-2022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5">
      <c r="A72" s="1" t="s">
        <v>73</v>
      </c>
      <c r="B72" s="2">
        <v>34811.800000000003</v>
      </c>
      <c r="C72" s="2">
        <v>81.599999999999994</v>
      </c>
      <c r="D72" s="1">
        <f t="shared" si="8"/>
        <v>2840643</v>
      </c>
      <c r="E72" s="2">
        <v>122.6</v>
      </c>
      <c r="F72" s="1">
        <f t="shared" si="9"/>
        <v>4267927</v>
      </c>
      <c r="G72" s="2">
        <v>1.54</v>
      </c>
      <c r="H72" s="1">
        <f t="shared" si="10"/>
        <v>1.54E-2</v>
      </c>
      <c r="I72" s="1">
        <f t="shared" si="11"/>
        <v>5.7119999999999997</v>
      </c>
      <c r="J72" s="1">
        <f t="shared" si="12"/>
        <v>198845</v>
      </c>
      <c r="K72" s="2">
        <v>400000</v>
      </c>
      <c r="L72" s="3">
        <f t="shared" si="13"/>
        <v>158333</v>
      </c>
      <c r="M72" s="2">
        <v>60853</v>
      </c>
      <c r="N72" s="2">
        <v>30</v>
      </c>
      <c r="O72" s="2">
        <v>6.45</v>
      </c>
      <c r="P72" s="1">
        <v>0.55000000000000004</v>
      </c>
      <c r="Q72" s="10" t="str">
        <f t="shared" si="14"/>
        <v>30-11-2022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25">
      <c r="A73" s="1" t="s">
        <v>74</v>
      </c>
      <c r="B73" s="2">
        <v>35110.980000000003</v>
      </c>
      <c r="C73" s="2">
        <v>81.599999999999994</v>
      </c>
      <c r="D73" s="1">
        <f t="shared" si="8"/>
        <v>2865056</v>
      </c>
      <c r="E73" s="2">
        <v>122.6</v>
      </c>
      <c r="F73" s="1">
        <f t="shared" si="9"/>
        <v>4304606</v>
      </c>
      <c r="G73" s="2">
        <v>1.54</v>
      </c>
      <c r="H73" s="1">
        <f t="shared" si="10"/>
        <v>1.54E-2</v>
      </c>
      <c r="I73" s="1">
        <f t="shared" si="11"/>
        <v>5.7119999999999997</v>
      </c>
      <c r="J73" s="1">
        <f t="shared" si="12"/>
        <v>200554</v>
      </c>
      <c r="K73" s="2">
        <v>400000</v>
      </c>
      <c r="L73" s="3">
        <f t="shared" si="13"/>
        <v>158333</v>
      </c>
      <c r="M73" s="2">
        <v>61157</v>
      </c>
      <c r="N73" s="2">
        <v>31</v>
      </c>
      <c r="O73" s="2">
        <v>6.45</v>
      </c>
      <c r="P73" s="1">
        <v>0.55000000000000004</v>
      </c>
      <c r="Q73" s="10" t="str">
        <f t="shared" si="14"/>
        <v>31-12-2022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25">
      <c r="A74" s="1" t="s">
        <v>75</v>
      </c>
      <c r="B74" s="2">
        <v>35287.5</v>
      </c>
      <c r="C74" s="2">
        <v>81.599999999999994</v>
      </c>
      <c r="D74" s="1">
        <f t="shared" si="8"/>
        <v>2879460</v>
      </c>
      <c r="E74" s="2">
        <v>122.6</v>
      </c>
      <c r="F74" s="1">
        <f t="shared" si="9"/>
        <v>4326248</v>
      </c>
      <c r="G74" s="2">
        <v>1.55</v>
      </c>
      <c r="H74" s="1">
        <f t="shared" si="10"/>
        <v>1.55E-2</v>
      </c>
      <c r="I74" s="1">
        <f t="shared" si="11"/>
        <v>5.7119999999999997</v>
      </c>
      <c r="J74" s="1">
        <f t="shared" si="12"/>
        <v>201562</v>
      </c>
      <c r="K74" s="2">
        <v>410000</v>
      </c>
      <c r="L74" s="3">
        <f t="shared" si="13"/>
        <v>162292</v>
      </c>
      <c r="M74" s="2">
        <v>61769</v>
      </c>
      <c r="N74" s="2">
        <v>31</v>
      </c>
      <c r="O74" s="2">
        <v>3.1</v>
      </c>
      <c r="P74" s="1">
        <f>7-O74</f>
        <v>3.9</v>
      </c>
      <c r="Q74" s="10" t="str">
        <f t="shared" si="14"/>
        <v>31-01-2023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25">
      <c r="A75" s="1" t="s">
        <v>76</v>
      </c>
      <c r="B75" s="2">
        <v>35509.68</v>
      </c>
      <c r="C75" s="2">
        <v>81.599999999999994</v>
      </c>
      <c r="D75" s="1">
        <f t="shared" si="8"/>
        <v>2897590</v>
      </c>
      <c r="E75" s="2">
        <v>122.6</v>
      </c>
      <c r="F75" s="1">
        <f t="shared" si="9"/>
        <v>4353487</v>
      </c>
      <c r="G75" s="2">
        <v>1.55</v>
      </c>
      <c r="H75" s="1">
        <f t="shared" si="10"/>
        <v>1.55E-2</v>
      </c>
      <c r="I75" s="1">
        <f t="shared" si="11"/>
        <v>5.7119999999999997</v>
      </c>
      <c r="J75" s="1">
        <f t="shared" si="12"/>
        <v>202831</v>
      </c>
      <c r="K75" s="2">
        <v>410000</v>
      </c>
      <c r="L75" s="3">
        <f t="shared" si="13"/>
        <v>162292</v>
      </c>
      <c r="M75" s="2">
        <v>61954</v>
      </c>
      <c r="N75" s="2">
        <v>28</v>
      </c>
      <c r="O75" s="2">
        <v>6</v>
      </c>
      <c r="P75" s="1">
        <f t="shared" ref="P75:P138" si="15">7-O75</f>
        <v>1</v>
      </c>
      <c r="Q75" s="10" t="str">
        <f t="shared" si="14"/>
        <v>28-02-2023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25">
      <c r="A76" s="1" t="s">
        <v>77</v>
      </c>
      <c r="B76" s="2">
        <v>35575.480000000003</v>
      </c>
      <c r="C76" s="2">
        <v>81.599999999999994</v>
      </c>
      <c r="D76" s="1">
        <f t="shared" si="8"/>
        <v>2902959</v>
      </c>
      <c r="E76" s="2">
        <v>122.6</v>
      </c>
      <c r="F76" s="1">
        <f t="shared" si="9"/>
        <v>4361554</v>
      </c>
      <c r="G76" s="2">
        <v>1.55</v>
      </c>
      <c r="H76" s="1">
        <f t="shared" si="10"/>
        <v>1.55E-2</v>
      </c>
      <c r="I76" s="1">
        <f t="shared" si="11"/>
        <v>5.7119999999999997</v>
      </c>
      <c r="J76" s="1">
        <f t="shared" si="12"/>
        <v>203207</v>
      </c>
      <c r="K76" s="2">
        <v>410000</v>
      </c>
      <c r="L76" s="3">
        <f t="shared" si="13"/>
        <v>162292</v>
      </c>
      <c r="M76" s="2">
        <v>62450</v>
      </c>
      <c r="N76" s="2">
        <v>31</v>
      </c>
      <c r="O76" s="2">
        <v>6</v>
      </c>
      <c r="P76" s="1">
        <f t="shared" si="15"/>
        <v>1</v>
      </c>
      <c r="Q76" s="10" t="str">
        <f t="shared" si="14"/>
        <v>31-03-2023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25">
      <c r="A77" s="1" t="s">
        <v>78</v>
      </c>
      <c r="B77" s="2">
        <v>35838.550000000003</v>
      </c>
      <c r="C77" s="2">
        <v>81.599999999999994</v>
      </c>
      <c r="D77" s="1">
        <f t="shared" si="8"/>
        <v>2924426</v>
      </c>
      <c r="E77" s="2">
        <v>122.6</v>
      </c>
      <c r="F77" s="1">
        <f t="shared" si="9"/>
        <v>4393806</v>
      </c>
      <c r="G77" s="2">
        <v>1.61</v>
      </c>
      <c r="H77" s="1">
        <f t="shared" si="10"/>
        <v>1.61E-2</v>
      </c>
      <c r="I77" s="1">
        <f t="shared" si="11"/>
        <v>5.7119999999999997</v>
      </c>
      <c r="J77" s="1">
        <f t="shared" si="12"/>
        <v>204710</v>
      </c>
      <c r="K77" s="2">
        <v>410000</v>
      </c>
      <c r="L77" s="3">
        <f t="shared" si="13"/>
        <v>162292</v>
      </c>
      <c r="M77" s="2">
        <v>62388</v>
      </c>
      <c r="N77" s="2">
        <v>30</v>
      </c>
      <c r="O77" s="2">
        <v>6</v>
      </c>
      <c r="P77" s="1">
        <f t="shared" si="15"/>
        <v>1</v>
      </c>
      <c r="Q77" s="10" t="str">
        <f t="shared" si="14"/>
        <v>30-04-2023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25">
      <c r="A78" s="1" t="s">
        <v>79</v>
      </c>
      <c r="B78" s="2">
        <v>36032.89</v>
      </c>
      <c r="C78" s="2">
        <v>81.599999999999994</v>
      </c>
      <c r="D78" s="1">
        <f t="shared" si="8"/>
        <v>2940284</v>
      </c>
      <c r="E78" s="2">
        <v>122.6</v>
      </c>
      <c r="F78" s="1">
        <f t="shared" si="9"/>
        <v>4417632</v>
      </c>
      <c r="G78" s="2">
        <v>1.61</v>
      </c>
      <c r="H78" s="1">
        <f t="shared" si="10"/>
        <v>1.61E-2</v>
      </c>
      <c r="I78" s="1">
        <f t="shared" si="11"/>
        <v>5.7119999999999997</v>
      </c>
      <c r="J78" s="1">
        <f t="shared" si="12"/>
        <v>205820</v>
      </c>
      <c r="K78" s="2">
        <v>440000</v>
      </c>
      <c r="L78" s="3">
        <f t="shared" si="13"/>
        <v>174167</v>
      </c>
      <c r="M78" s="2">
        <v>63074</v>
      </c>
      <c r="N78" s="2">
        <v>31</v>
      </c>
      <c r="O78" s="2">
        <v>6</v>
      </c>
      <c r="P78" s="1">
        <f t="shared" si="15"/>
        <v>1</v>
      </c>
      <c r="Q78" s="10" t="str">
        <f t="shared" si="14"/>
        <v>31-05-2023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25">
      <c r="A79" s="1" t="s">
        <v>80</v>
      </c>
      <c r="B79" s="2">
        <v>36089.480000000003</v>
      </c>
      <c r="C79" s="2">
        <v>81.599999999999994</v>
      </c>
      <c r="D79" s="1">
        <f t="shared" si="8"/>
        <v>2944902</v>
      </c>
      <c r="E79" s="2">
        <v>122.6</v>
      </c>
      <c r="F79" s="1">
        <f t="shared" si="9"/>
        <v>4424570</v>
      </c>
      <c r="G79" s="2">
        <v>1.61</v>
      </c>
      <c r="H79" s="1">
        <f t="shared" si="10"/>
        <v>1.61E-2</v>
      </c>
      <c r="I79" s="1">
        <f t="shared" si="11"/>
        <v>5.7119999999999997</v>
      </c>
      <c r="J79" s="1">
        <f t="shared" si="12"/>
        <v>206143</v>
      </c>
      <c r="K79" s="2">
        <v>440000</v>
      </c>
      <c r="L79" s="3">
        <f t="shared" si="13"/>
        <v>174167</v>
      </c>
      <c r="M79" s="2">
        <v>63263</v>
      </c>
      <c r="N79" s="2">
        <v>30</v>
      </c>
      <c r="O79" s="2">
        <v>6</v>
      </c>
      <c r="P79" s="1">
        <f t="shared" si="15"/>
        <v>1</v>
      </c>
      <c r="Q79" s="10" t="str">
        <f t="shared" si="14"/>
        <v>30-06-2023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25">
      <c r="A80" s="1" t="s">
        <v>81</v>
      </c>
      <c r="B80" s="2">
        <v>36049.050000000003</v>
      </c>
      <c r="C80" s="2">
        <v>81.599999999999994</v>
      </c>
      <c r="D80" s="1">
        <f t="shared" si="8"/>
        <v>2941602</v>
      </c>
      <c r="E80" s="2">
        <v>122.6</v>
      </c>
      <c r="F80" s="1">
        <f t="shared" si="9"/>
        <v>4419614</v>
      </c>
      <c r="G80" s="2">
        <v>1.88</v>
      </c>
      <c r="H80" s="1">
        <f t="shared" si="10"/>
        <v>1.8799999999999997E-2</v>
      </c>
      <c r="I80" s="1">
        <f t="shared" si="11"/>
        <v>5.7119999999999997</v>
      </c>
      <c r="J80" s="1">
        <f t="shared" si="12"/>
        <v>205912</v>
      </c>
      <c r="K80" s="2">
        <v>440000</v>
      </c>
      <c r="L80" s="3">
        <f t="shared" si="13"/>
        <v>174167</v>
      </c>
      <c r="M80" s="2">
        <v>63326</v>
      </c>
      <c r="N80" s="2">
        <v>31</v>
      </c>
      <c r="O80" s="2">
        <v>6</v>
      </c>
      <c r="P80" s="1">
        <f t="shared" si="15"/>
        <v>1</v>
      </c>
      <c r="Q80" s="10" t="str">
        <f t="shared" si="14"/>
        <v>31-07-2023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25">
      <c r="A81" s="1" t="s">
        <v>82</v>
      </c>
      <c r="B81" s="2">
        <v>36130.31</v>
      </c>
      <c r="C81" s="2">
        <v>81.599999999999994</v>
      </c>
      <c r="D81" s="1">
        <f t="shared" si="8"/>
        <v>2948233</v>
      </c>
      <c r="E81" s="2">
        <v>122.6</v>
      </c>
      <c r="F81" s="1">
        <f t="shared" si="9"/>
        <v>4429576</v>
      </c>
      <c r="G81" s="2">
        <v>1.88</v>
      </c>
      <c r="H81" s="1">
        <f t="shared" si="10"/>
        <v>1.8799999999999997E-2</v>
      </c>
      <c r="I81" s="1">
        <f t="shared" si="11"/>
        <v>5.7119999999999997</v>
      </c>
      <c r="J81" s="1">
        <f t="shared" si="12"/>
        <v>206376</v>
      </c>
      <c r="K81" s="2">
        <v>440000</v>
      </c>
      <c r="L81" s="3">
        <f t="shared" si="13"/>
        <v>174167</v>
      </c>
      <c r="M81" s="2">
        <v>63199</v>
      </c>
      <c r="N81" s="2">
        <v>31</v>
      </c>
      <c r="O81" s="2">
        <v>6</v>
      </c>
      <c r="P81" s="1">
        <f t="shared" si="15"/>
        <v>1</v>
      </c>
      <c r="Q81" s="10" t="str">
        <f t="shared" si="14"/>
        <v>31-08-2023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25">
      <c r="A82" s="1" t="s">
        <v>83</v>
      </c>
      <c r="B82" s="2">
        <v>36197.53</v>
      </c>
      <c r="C82" s="2">
        <v>81.599999999999994</v>
      </c>
      <c r="D82" s="1">
        <f t="shared" si="8"/>
        <v>2953718</v>
      </c>
      <c r="E82" s="2">
        <v>122.6</v>
      </c>
      <c r="F82" s="1">
        <f t="shared" si="9"/>
        <v>4437817</v>
      </c>
      <c r="G82" s="2">
        <v>1.88</v>
      </c>
      <c r="H82" s="1">
        <f t="shared" si="10"/>
        <v>1.8799999999999997E-2</v>
      </c>
      <c r="I82" s="1">
        <f t="shared" si="11"/>
        <v>5.7119999999999997</v>
      </c>
      <c r="J82" s="1">
        <f t="shared" si="12"/>
        <v>206760</v>
      </c>
      <c r="K82" s="2">
        <v>460000</v>
      </c>
      <c r="L82" s="3">
        <f t="shared" si="13"/>
        <v>182083</v>
      </c>
      <c r="M82" s="2">
        <v>63452</v>
      </c>
      <c r="N82" s="2">
        <v>30</v>
      </c>
      <c r="O82" s="2">
        <v>6</v>
      </c>
      <c r="P82" s="1">
        <f t="shared" si="15"/>
        <v>1</v>
      </c>
      <c r="Q82" s="10" t="str">
        <f t="shared" si="14"/>
        <v>30-09-2023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5">
      <c r="A83" s="1" t="s">
        <v>84</v>
      </c>
      <c r="B83" s="2">
        <v>36388.07</v>
      </c>
      <c r="C83" s="2">
        <v>81.599999999999994</v>
      </c>
      <c r="D83" s="1">
        <f t="shared" si="8"/>
        <v>2969267</v>
      </c>
      <c r="E83" s="2">
        <v>122.6</v>
      </c>
      <c r="F83" s="1">
        <f t="shared" si="9"/>
        <v>4461177</v>
      </c>
      <c r="G83" s="2">
        <v>1.47</v>
      </c>
      <c r="H83" s="1">
        <f t="shared" si="10"/>
        <v>1.47E-2</v>
      </c>
      <c r="I83" s="1">
        <f t="shared" si="11"/>
        <v>5.7119999999999997</v>
      </c>
      <c r="J83" s="1">
        <f t="shared" si="12"/>
        <v>207849</v>
      </c>
      <c r="K83" s="2">
        <v>460000</v>
      </c>
      <c r="L83" s="3">
        <f t="shared" si="13"/>
        <v>182083</v>
      </c>
      <c r="M83" s="2">
        <v>63515</v>
      </c>
      <c r="N83" s="2">
        <v>31</v>
      </c>
      <c r="O83" s="2">
        <v>6</v>
      </c>
      <c r="P83" s="1">
        <f t="shared" si="15"/>
        <v>1</v>
      </c>
      <c r="Q83" s="10" t="str">
        <f t="shared" si="14"/>
        <v>31-10-2023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25">
      <c r="A84" s="1" t="s">
        <v>85</v>
      </c>
      <c r="B84" s="2">
        <v>36563.870000000003</v>
      </c>
      <c r="C84" s="2">
        <v>81.599999999999994</v>
      </c>
      <c r="D84" s="1">
        <f t="shared" si="8"/>
        <v>2983612</v>
      </c>
      <c r="E84" s="2">
        <v>122.6</v>
      </c>
      <c r="F84" s="1">
        <f t="shared" si="9"/>
        <v>4482730</v>
      </c>
      <c r="G84" s="2">
        <v>1.47</v>
      </c>
      <c r="H84" s="1">
        <f t="shared" si="10"/>
        <v>1.47E-2</v>
      </c>
      <c r="I84" s="1">
        <f t="shared" si="11"/>
        <v>5.7119999999999997</v>
      </c>
      <c r="J84" s="1">
        <f t="shared" si="12"/>
        <v>208853</v>
      </c>
      <c r="K84" s="2">
        <v>460000</v>
      </c>
      <c r="L84" s="3">
        <f t="shared" si="13"/>
        <v>182083</v>
      </c>
      <c r="M84" s="2">
        <v>63960</v>
      </c>
      <c r="N84" s="2">
        <v>30</v>
      </c>
      <c r="O84" s="2">
        <v>6</v>
      </c>
      <c r="P84" s="1">
        <f t="shared" si="15"/>
        <v>1</v>
      </c>
      <c r="Q84" s="10" t="str">
        <f t="shared" si="14"/>
        <v>30-11-2023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25">
      <c r="A85" s="1" t="s">
        <v>86</v>
      </c>
      <c r="B85" s="2">
        <v>36789.360000000001</v>
      </c>
      <c r="C85" s="2">
        <v>81.599999999999994</v>
      </c>
      <c r="D85" s="1">
        <f t="shared" si="8"/>
        <v>3002012</v>
      </c>
      <c r="E85" s="2">
        <v>122.6</v>
      </c>
      <c r="F85" s="1">
        <f t="shared" si="9"/>
        <v>4510376</v>
      </c>
      <c r="G85" s="2">
        <v>1.47</v>
      </c>
      <c r="H85" s="1">
        <f t="shared" si="10"/>
        <v>1.47E-2</v>
      </c>
      <c r="I85" s="1">
        <f t="shared" si="11"/>
        <v>5.7119999999999997</v>
      </c>
      <c r="J85" s="1">
        <f t="shared" si="12"/>
        <v>210141</v>
      </c>
      <c r="K85" s="2">
        <v>460000</v>
      </c>
      <c r="L85" s="3">
        <f t="shared" si="13"/>
        <v>182083</v>
      </c>
      <c r="M85" s="2">
        <v>64216</v>
      </c>
      <c r="N85" s="2">
        <v>31</v>
      </c>
      <c r="O85" s="2">
        <v>6</v>
      </c>
      <c r="P85" s="1">
        <f t="shared" si="15"/>
        <v>1</v>
      </c>
      <c r="Q85" s="10" t="str">
        <f t="shared" si="14"/>
        <v>31-12-2023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25">
      <c r="A86" s="1" t="s">
        <v>87</v>
      </c>
      <c r="B86" s="2">
        <v>36733.040000000001</v>
      </c>
      <c r="C86" s="2">
        <v>84.3</v>
      </c>
      <c r="D86" s="1">
        <f t="shared" si="8"/>
        <v>3096595</v>
      </c>
      <c r="E86" s="2">
        <v>126.6</v>
      </c>
      <c r="F86" s="1">
        <f t="shared" si="9"/>
        <v>4650403</v>
      </c>
      <c r="G86" s="2">
        <v>1.49</v>
      </c>
      <c r="H86" s="1">
        <f t="shared" si="10"/>
        <v>1.49E-2</v>
      </c>
      <c r="I86" s="1">
        <f t="shared" si="11"/>
        <v>5.9010000000000007</v>
      </c>
      <c r="J86" s="1">
        <f t="shared" si="12"/>
        <v>216762</v>
      </c>
      <c r="K86" s="2">
        <v>460000</v>
      </c>
      <c r="L86" s="3">
        <f t="shared" si="13"/>
        <v>182083</v>
      </c>
      <c r="M86" s="2">
        <v>64666</v>
      </c>
      <c r="N86" s="2">
        <v>31</v>
      </c>
      <c r="O86" s="2">
        <v>3.1</v>
      </c>
      <c r="P86" s="1">
        <f t="shared" si="15"/>
        <v>3.9</v>
      </c>
      <c r="Q86" s="10" t="str">
        <f t="shared" si="14"/>
        <v>31-01-2024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25">
      <c r="A87" s="1" t="s">
        <v>88</v>
      </c>
      <c r="B87" s="2">
        <v>36856.5</v>
      </c>
      <c r="C87" s="2">
        <v>84.3</v>
      </c>
      <c r="D87" s="1">
        <f t="shared" si="8"/>
        <v>3107003</v>
      </c>
      <c r="E87" s="2">
        <v>126.6</v>
      </c>
      <c r="F87" s="1">
        <f t="shared" si="9"/>
        <v>4666033</v>
      </c>
      <c r="G87" s="2">
        <v>1.49</v>
      </c>
      <c r="H87" s="1">
        <f t="shared" si="10"/>
        <v>1.49E-2</v>
      </c>
      <c r="I87" s="1">
        <f t="shared" si="11"/>
        <v>5.9010000000000007</v>
      </c>
      <c r="J87" s="1">
        <f t="shared" si="12"/>
        <v>217490</v>
      </c>
      <c r="K87" s="2">
        <v>460000</v>
      </c>
      <c r="L87" s="3">
        <f t="shared" si="13"/>
        <v>182083</v>
      </c>
      <c r="M87" s="2">
        <v>64343</v>
      </c>
      <c r="N87" s="2">
        <v>30</v>
      </c>
      <c r="O87" s="2">
        <v>4.9000000000000004</v>
      </c>
      <c r="P87" s="1">
        <f t="shared" si="15"/>
        <v>2.0999999999999996</v>
      </c>
      <c r="Q87" s="10" t="str">
        <f t="shared" si="14"/>
        <v>30-02-2024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5">
      <c r="A88" s="1" t="s">
        <v>89</v>
      </c>
      <c r="B88" s="2">
        <v>37093.519999999997</v>
      </c>
      <c r="C88" s="2">
        <v>84.3</v>
      </c>
      <c r="D88" s="1">
        <f t="shared" si="8"/>
        <v>3126984</v>
      </c>
      <c r="E88" s="2">
        <v>126.6</v>
      </c>
      <c r="F88" s="1">
        <f t="shared" si="9"/>
        <v>4696040</v>
      </c>
      <c r="G88" s="2">
        <v>1.49</v>
      </c>
      <c r="H88" s="1">
        <f t="shared" si="10"/>
        <v>1.49E-2</v>
      </c>
      <c r="I88" s="1">
        <f t="shared" si="11"/>
        <v>5.9010000000000007</v>
      </c>
      <c r="J88" s="1">
        <f t="shared" si="12"/>
        <v>218889</v>
      </c>
      <c r="K88" s="2">
        <v>460000</v>
      </c>
      <c r="L88" s="3">
        <f t="shared" si="13"/>
        <v>182083</v>
      </c>
      <c r="M88" s="2">
        <v>64793</v>
      </c>
      <c r="N88" s="2">
        <v>31</v>
      </c>
      <c r="O88" s="2">
        <v>4.9000000000000004</v>
      </c>
      <c r="P88" s="1">
        <f t="shared" si="15"/>
        <v>2.0999999999999996</v>
      </c>
      <c r="Q88" s="10" t="str">
        <f t="shared" si="14"/>
        <v>31-03-2024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5">
      <c r="A89" s="1" t="s">
        <v>90</v>
      </c>
      <c r="B89" s="2">
        <v>37261.980000000003</v>
      </c>
      <c r="C89" s="2">
        <v>84.3</v>
      </c>
      <c r="D89" s="1">
        <f t="shared" si="8"/>
        <v>3141185</v>
      </c>
      <c r="E89" s="2">
        <v>126.6</v>
      </c>
      <c r="F89" s="1">
        <f t="shared" si="9"/>
        <v>4717367</v>
      </c>
      <c r="G89" s="2">
        <v>1.49</v>
      </c>
      <c r="H89" s="1">
        <f t="shared" si="10"/>
        <v>1.49E-2</v>
      </c>
      <c r="I89" s="1">
        <f t="shared" si="11"/>
        <v>5.9010000000000007</v>
      </c>
      <c r="J89" s="1">
        <f t="shared" si="12"/>
        <v>219883</v>
      </c>
      <c r="K89" s="2">
        <v>460000</v>
      </c>
      <c r="L89" s="3">
        <f t="shared" si="13"/>
        <v>182083</v>
      </c>
      <c r="M89" s="2">
        <v>65182</v>
      </c>
      <c r="N89" s="2">
        <v>30</v>
      </c>
      <c r="O89" s="2">
        <v>4.9000000000000004</v>
      </c>
      <c r="P89" s="1">
        <f t="shared" si="15"/>
        <v>2.0999999999999996</v>
      </c>
      <c r="Q89" s="10" t="str">
        <f t="shared" si="14"/>
        <v>30-04-2024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25">
      <c r="A90" s="1" t="s">
        <v>91</v>
      </c>
      <c r="B90" s="2">
        <v>37438.910000000003</v>
      </c>
      <c r="C90" s="2">
        <v>84.3</v>
      </c>
      <c r="D90" s="1">
        <f t="shared" si="8"/>
        <v>3156100</v>
      </c>
      <c r="E90" s="2">
        <v>126.6</v>
      </c>
      <c r="F90" s="1">
        <f t="shared" si="9"/>
        <v>4739766</v>
      </c>
      <c r="G90" s="2">
        <v>1.49</v>
      </c>
      <c r="H90" s="1">
        <f t="shared" si="10"/>
        <v>1.49E-2</v>
      </c>
      <c r="I90" s="1">
        <f t="shared" si="11"/>
        <v>5.9010000000000007</v>
      </c>
      <c r="J90" s="1">
        <f t="shared" si="12"/>
        <v>220927</v>
      </c>
      <c r="K90" s="2">
        <v>460000</v>
      </c>
      <c r="L90" s="3">
        <f t="shared" si="13"/>
        <v>182083</v>
      </c>
      <c r="M90" s="2">
        <v>65770</v>
      </c>
      <c r="N90" s="2">
        <v>31</v>
      </c>
      <c r="O90" s="2">
        <v>4.9000000000000004</v>
      </c>
      <c r="P90" s="1">
        <f t="shared" si="15"/>
        <v>2.0999999999999996</v>
      </c>
      <c r="Q90" s="10" t="str">
        <f t="shared" si="14"/>
        <v>31-05-2024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25">
      <c r="A91" s="1" t="s">
        <v>92</v>
      </c>
      <c r="B91" s="2">
        <v>37571.86</v>
      </c>
      <c r="C91" s="2">
        <v>84.3</v>
      </c>
      <c r="D91" s="1">
        <f t="shared" si="8"/>
        <v>3167308</v>
      </c>
      <c r="E91" s="2">
        <v>126.6</v>
      </c>
      <c r="F91" s="1">
        <f t="shared" si="9"/>
        <v>4756597</v>
      </c>
      <c r="G91" s="2">
        <v>1.49</v>
      </c>
      <c r="H91" s="1">
        <f t="shared" si="10"/>
        <v>1.49E-2</v>
      </c>
      <c r="I91" s="1">
        <f t="shared" si="11"/>
        <v>5.9010000000000007</v>
      </c>
      <c r="J91" s="1">
        <f t="shared" si="12"/>
        <v>221712</v>
      </c>
      <c r="K91" s="2">
        <v>460000</v>
      </c>
      <c r="L91" s="3">
        <f t="shared" si="13"/>
        <v>182083</v>
      </c>
      <c r="M91" s="2">
        <v>65967</v>
      </c>
      <c r="N91" s="2">
        <v>30</v>
      </c>
      <c r="O91" s="2">
        <v>5.4</v>
      </c>
      <c r="P91" s="1">
        <f t="shared" si="15"/>
        <v>1.5999999999999996</v>
      </c>
      <c r="Q91" s="10" t="str">
        <f t="shared" si="14"/>
        <v>30-06-2024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25">
      <c r="A92" s="1" t="s">
        <v>93</v>
      </c>
      <c r="B92" s="2">
        <v>37578.949999999997</v>
      </c>
      <c r="C92" s="2">
        <v>84.3</v>
      </c>
      <c r="D92" s="1">
        <f t="shared" si="8"/>
        <v>3167905</v>
      </c>
      <c r="E92" s="2">
        <v>126.6</v>
      </c>
      <c r="F92" s="1">
        <f t="shared" si="9"/>
        <v>4757495</v>
      </c>
      <c r="G92" s="2">
        <v>2.0099999999999998</v>
      </c>
      <c r="H92" s="1">
        <f t="shared" si="10"/>
        <v>2.0099999999999996E-2</v>
      </c>
      <c r="I92" s="1">
        <f t="shared" si="11"/>
        <v>5.9010000000000007</v>
      </c>
      <c r="J92" s="1">
        <f t="shared" si="12"/>
        <v>221753</v>
      </c>
      <c r="K92" s="2">
        <v>500000</v>
      </c>
      <c r="L92" s="3">
        <f t="shared" si="13"/>
        <v>197917</v>
      </c>
      <c r="M92" s="2">
        <v>65967</v>
      </c>
      <c r="N92" s="2">
        <v>31</v>
      </c>
      <c r="O92" s="2">
        <v>5.4</v>
      </c>
      <c r="P92" s="1">
        <f t="shared" si="15"/>
        <v>1.5999999999999996</v>
      </c>
      <c r="Q92" s="10" t="str">
        <f t="shared" si="14"/>
        <v>31-07-2024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5">
      <c r="A93" s="1" t="s">
        <v>94</v>
      </c>
      <c r="B93" s="2">
        <v>37754.47</v>
      </c>
      <c r="C93" s="2">
        <v>84.3</v>
      </c>
      <c r="D93" s="1">
        <f t="shared" si="8"/>
        <v>3182702</v>
      </c>
      <c r="E93" s="2">
        <v>126.6</v>
      </c>
      <c r="F93" s="1">
        <f t="shared" si="9"/>
        <v>4779716</v>
      </c>
      <c r="G93" s="2">
        <v>2.0099999999999998</v>
      </c>
      <c r="H93" s="1">
        <f t="shared" si="10"/>
        <v>2.0099999999999996E-2</v>
      </c>
      <c r="I93" s="1">
        <f t="shared" si="11"/>
        <v>5.9010000000000007</v>
      </c>
      <c r="J93" s="1">
        <f t="shared" si="12"/>
        <v>222789</v>
      </c>
      <c r="K93" s="2">
        <v>500000</v>
      </c>
      <c r="L93" s="3">
        <f t="shared" si="13"/>
        <v>197917</v>
      </c>
      <c r="M93" s="2">
        <v>65901</v>
      </c>
      <c r="N93" s="2">
        <v>31</v>
      </c>
      <c r="O93" s="2">
        <v>5.4</v>
      </c>
      <c r="P93" s="1">
        <f t="shared" si="15"/>
        <v>1.5999999999999996</v>
      </c>
      <c r="Q93" s="10" t="str">
        <f t="shared" si="14"/>
        <v>31-08-2024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5">
      <c r="A94" s="1" t="s">
        <v>95</v>
      </c>
      <c r="B94" s="2">
        <v>37910.42</v>
      </c>
      <c r="C94" s="2">
        <v>84.3</v>
      </c>
      <c r="D94" s="1">
        <f t="shared" si="8"/>
        <v>3195848</v>
      </c>
      <c r="E94" s="2">
        <v>126.6</v>
      </c>
      <c r="F94" s="1">
        <f t="shared" si="9"/>
        <v>4799459</v>
      </c>
      <c r="G94" s="2">
        <v>2.0099999999999998</v>
      </c>
      <c r="H94" s="1">
        <f t="shared" si="10"/>
        <v>2.0099999999999996E-2</v>
      </c>
      <c r="I94" s="1">
        <f t="shared" si="11"/>
        <v>5.9010000000000007</v>
      </c>
      <c r="J94" s="1">
        <f t="shared" si="12"/>
        <v>223709</v>
      </c>
      <c r="K94" s="2">
        <v>500000</v>
      </c>
      <c r="L94" s="3">
        <f t="shared" si="13"/>
        <v>197917</v>
      </c>
      <c r="M94" s="2">
        <v>66362</v>
      </c>
      <c r="N94" s="2">
        <v>30</v>
      </c>
      <c r="O94" s="2">
        <v>5.4</v>
      </c>
      <c r="P94" s="1">
        <f t="shared" si="15"/>
        <v>1.5999999999999996</v>
      </c>
      <c r="Q94" s="10" t="str">
        <f t="shared" si="14"/>
        <v>30-09-2024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25">
      <c r="A95" s="1" t="s">
        <v>96</v>
      </c>
      <c r="B95" s="2">
        <v>37971.42</v>
      </c>
      <c r="C95" s="2">
        <v>84.3</v>
      </c>
      <c r="D95" s="1">
        <f t="shared" si="8"/>
        <v>3200991</v>
      </c>
      <c r="E95" s="2">
        <v>126.6</v>
      </c>
      <c r="F95" s="1">
        <f t="shared" si="9"/>
        <v>4807182</v>
      </c>
      <c r="G95" s="2">
        <v>1.5</v>
      </c>
      <c r="H95" s="1">
        <f t="shared" si="10"/>
        <v>1.4999999999999999E-2</v>
      </c>
      <c r="I95" s="1">
        <f t="shared" si="11"/>
        <v>5.9010000000000007</v>
      </c>
      <c r="J95" s="1">
        <f t="shared" si="12"/>
        <v>224069</v>
      </c>
      <c r="K95" s="2">
        <v>500000</v>
      </c>
      <c r="L95" s="3">
        <f t="shared" si="13"/>
        <v>197917</v>
      </c>
      <c r="M95" s="2">
        <v>66561</v>
      </c>
      <c r="N95" s="2">
        <v>31</v>
      </c>
      <c r="O95" s="2">
        <v>5.4</v>
      </c>
      <c r="P95" s="1">
        <f t="shared" si="15"/>
        <v>1.5999999999999996</v>
      </c>
      <c r="Q95" s="10" t="str">
        <f t="shared" si="14"/>
        <v>31-10-2024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25">
      <c r="A96" s="1" t="s">
        <v>97</v>
      </c>
      <c r="B96" s="2">
        <v>38247.919999999998</v>
      </c>
      <c r="C96" s="2">
        <v>84.3</v>
      </c>
      <c r="D96" s="1">
        <f t="shared" si="8"/>
        <v>3224300</v>
      </c>
      <c r="E96" s="2">
        <v>126.6</v>
      </c>
      <c r="F96" s="1">
        <f t="shared" si="9"/>
        <v>4842187</v>
      </c>
      <c r="G96" s="2">
        <v>1.5</v>
      </c>
      <c r="H96" s="1">
        <f t="shared" si="10"/>
        <v>1.4999999999999999E-2</v>
      </c>
      <c r="I96" s="1">
        <f t="shared" si="11"/>
        <v>5.9010000000000007</v>
      </c>
      <c r="J96" s="1">
        <f t="shared" si="12"/>
        <v>225701</v>
      </c>
      <c r="K96" s="2">
        <v>500000</v>
      </c>
      <c r="L96" s="3">
        <f t="shared" si="13"/>
        <v>197917</v>
      </c>
      <c r="M96" s="2">
        <v>66628</v>
      </c>
      <c r="N96" s="2">
        <v>30</v>
      </c>
      <c r="O96" s="2">
        <v>5.4</v>
      </c>
      <c r="P96" s="1">
        <f t="shared" si="15"/>
        <v>1.5999999999999996</v>
      </c>
      <c r="Q96" s="10" t="str">
        <f t="shared" si="14"/>
        <v>30-11-2024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25">
      <c r="A97" s="1" t="s">
        <v>98</v>
      </c>
      <c r="B97" s="2">
        <v>38416.69</v>
      </c>
      <c r="C97" s="2">
        <v>84.3</v>
      </c>
      <c r="D97" s="1">
        <f t="shared" si="8"/>
        <v>3238527</v>
      </c>
      <c r="E97" s="2">
        <v>126.6</v>
      </c>
      <c r="F97" s="1">
        <f t="shared" si="9"/>
        <v>4863553</v>
      </c>
      <c r="G97" s="2">
        <v>1.5</v>
      </c>
      <c r="H97" s="1">
        <f t="shared" si="10"/>
        <v>1.4999999999999999E-2</v>
      </c>
      <c r="I97" s="1">
        <f t="shared" si="11"/>
        <v>5.9010000000000007</v>
      </c>
      <c r="J97" s="1">
        <f t="shared" si="12"/>
        <v>226697</v>
      </c>
      <c r="K97" s="2">
        <v>500000</v>
      </c>
      <c r="L97" s="3">
        <f t="shared" si="13"/>
        <v>197917</v>
      </c>
      <c r="M97" s="2">
        <v>67294</v>
      </c>
      <c r="N97" s="2">
        <v>31</v>
      </c>
      <c r="O97" s="2">
        <v>5.4</v>
      </c>
      <c r="P97" s="1">
        <f t="shared" si="15"/>
        <v>1.5999999999999996</v>
      </c>
      <c r="Q97" s="10" t="str">
        <f t="shared" si="14"/>
        <v>31-12-2024</v>
      </c>
      <c r="R97" s="2">
        <v>0</v>
      </c>
      <c r="S97" s="2">
        <v>0</v>
      </c>
      <c r="T97" s="2">
        <v>0</v>
      </c>
      <c r="U97" s="2">
        <v>0</v>
      </c>
    </row>
    <row r="98" spans="1:21" x14ac:dyDescent="0.25">
      <c r="A98" s="1" t="s">
        <v>99</v>
      </c>
      <c r="B98" s="2">
        <v>38384.410000000003</v>
      </c>
      <c r="C98" s="2">
        <v>87.8</v>
      </c>
      <c r="D98" s="1">
        <f t="shared" si="8"/>
        <v>3370151</v>
      </c>
      <c r="E98" s="2">
        <v>131.80000000000001</v>
      </c>
      <c r="F98" s="1">
        <f t="shared" si="9"/>
        <v>5059065</v>
      </c>
      <c r="G98" s="2">
        <v>1.38</v>
      </c>
      <c r="H98" s="1">
        <f t="shared" si="10"/>
        <v>1.38E-2</v>
      </c>
      <c r="I98" s="1">
        <f t="shared" si="11"/>
        <v>6.1460000000000008</v>
      </c>
      <c r="J98" s="1">
        <f t="shared" si="12"/>
        <v>235911</v>
      </c>
      <c r="K98" s="2">
        <v>510636</v>
      </c>
      <c r="L98" s="3">
        <f t="shared" si="13"/>
        <v>202127</v>
      </c>
      <c r="M98" s="6">
        <v>67429</v>
      </c>
      <c r="N98" s="2">
        <v>31</v>
      </c>
      <c r="O98" s="2">
        <v>3.1</v>
      </c>
      <c r="P98" s="1">
        <f t="shared" si="15"/>
        <v>3.9</v>
      </c>
      <c r="Q98" s="4">
        <v>45688</v>
      </c>
      <c r="R98" s="2">
        <v>0</v>
      </c>
      <c r="S98" s="2">
        <v>0</v>
      </c>
      <c r="T98" s="2">
        <v>0</v>
      </c>
      <c r="U98" s="2">
        <v>0</v>
      </c>
    </row>
    <row r="99" spans="1:21" x14ac:dyDescent="0.25">
      <c r="A99" s="1" t="s">
        <v>100</v>
      </c>
      <c r="B99" s="2">
        <v>38647.94</v>
      </c>
      <c r="C99" s="2">
        <v>87.8</v>
      </c>
      <c r="D99" s="1">
        <f t="shared" si="8"/>
        <v>3393289</v>
      </c>
      <c r="E99" s="2">
        <v>131.9</v>
      </c>
      <c r="F99" s="1">
        <f t="shared" si="9"/>
        <v>5097663</v>
      </c>
      <c r="G99" s="2">
        <v>1.38</v>
      </c>
      <c r="H99" s="1">
        <f t="shared" si="10"/>
        <v>1.38E-2</v>
      </c>
      <c r="I99" s="1">
        <f t="shared" si="11"/>
        <v>6.1460000000000008</v>
      </c>
      <c r="J99" s="1">
        <f t="shared" si="12"/>
        <v>237530</v>
      </c>
      <c r="K99" s="2">
        <v>510636</v>
      </c>
      <c r="L99" s="3">
        <f t="shared" si="13"/>
        <v>202127</v>
      </c>
      <c r="M99" s="6">
        <v>67294</v>
      </c>
      <c r="N99" s="2">
        <v>30</v>
      </c>
      <c r="O99" s="2">
        <v>5.2</v>
      </c>
      <c r="P99" s="1">
        <f t="shared" si="15"/>
        <v>1.7999999999999998</v>
      </c>
      <c r="Q99" s="4">
        <v>45716</v>
      </c>
      <c r="R99" s="2">
        <v>0</v>
      </c>
      <c r="S99" s="2">
        <v>0</v>
      </c>
      <c r="T99" s="2">
        <v>0</v>
      </c>
      <c r="U99" s="2">
        <v>0</v>
      </c>
    </row>
    <row r="100" spans="1:21" x14ac:dyDescent="0.25">
      <c r="A100" s="1" t="s">
        <v>101</v>
      </c>
      <c r="B100" s="2">
        <v>38894.11</v>
      </c>
      <c r="C100" s="2">
        <v>87.8</v>
      </c>
      <c r="D100" s="1">
        <f t="shared" si="8"/>
        <v>3414903</v>
      </c>
      <c r="E100" s="2">
        <v>131.9</v>
      </c>
      <c r="F100" s="1">
        <f t="shared" si="9"/>
        <v>5130133</v>
      </c>
      <c r="G100" s="2">
        <v>1.38</v>
      </c>
      <c r="H100" s="1">
        <f t="shared" si="10"/>
        <v>1.38E-2</v>
      </c>
      <c r="I100" s="1">
        <f t="shared" si="11"/>
        <v>6.1460000000000008</v>
      </c>
      <c r="J100" s="1">
        <f t="shared" si="12"/>
        <v>239043</v>
      </c>
      <c r="K100" s="2">
        <v>510636</v>
      </c>
      <c r="L100" s="3">
        <f t="shared" si="13"/>
        <v>202127</v>
      </c>
      <c r="M100" s="6">
        <v>68034</v>
      </c>
      <c r="N100" s="2">
        <v>31</v>
      </c>
      <c r="O100" s="2">
        <v>5.2</v>
      </c>
      <c r="P100" s="1">
        <f t="shared" si="15"/>
        <v>1.7999999999999998</v>
      </c>
      <c r="Q100" s="4">
        <v>45747</v>
      </c>
      <c r="R100" s="2">
        <v>0</v>
      </c>
      <c r="S100" s="2">
        <v>0</v>
      </c>
      <c r="T100" s="2">
        <v>0</v>
      </c>
      <c r="U100" s="2">
        <v>0</v>
      </c>
    </row>
    <row r="101" spans="1:21" x14ac:dyDescent="0.25">
      <c r="A101" s="1" t="s">
        <v>102</v>
      </c>
      <c r="B101" s="2">
        <v>39075.410000000003</v>
      </c>
      <c r="C101" s="2">
        <v>87.8</v>
      </c>
      <c r="D101" s="1">
        <f t="shared" si="8"/>
        <v>3430821</v>
      </c>
      <c r="E101" s="2">
        <v>131.9</v>
      </c>
      <c r="F101" s="1">
        <f t="shared" si="9"/>
        <v>5154047</v>
      </c>
      <c r="G101" s="2">
        <v>1.78</v>
      </c>
      <c r="H101" s="1">
        <f t="shared" si="10"/>
        <v>1.78E-2</v>
      </c>
      <c r="I101" s="1">
        <f t="shared" si="11"/>
        <v>6.1460000000000008</v>
      </c>
      <c r="J101" s="1">
        <f t="shared" si="12"/>
        <v>240157</v>
      </c>
      <c r="K101" s="2">
        <v>510636</v>
      </c>
      <c r="L101" s="3">
        <f t="shared" si="13"/>
        <v>202127</v>
      </c>
      <c r="M101" s="6">
        <v>68306</v>
      </c>
      <c r="N101" s="2">
        <v>30</v>
      </c>
      <c r="O101" s="2">
        <v>5.2</v>
      </c>
      <c r="P101" s="1">
        <f t="shared" si="15"/>
        <v>1.7999999999999998</v>
      </c>
      <c r="Q101" s="4">
        <v>45777</v>
      </c>
      <c r="R101" s="2">
        <v>0</v>
      </c>
      <c r="S101" s="2">
        <v>0</v>
      </c>
      <c r="T101" s="2">
        <v>0</v>
      </c>
      <c r="U101" s="2">
        <v>0</v>
      </c>
    </row>
    <row r="102" spans="1:21" x14ac:dyDescent="0.25">
      <c r="A102" s="1" t="s">
        <v>103</v>
      </c>
      <c r="B102" s="2">
        <v>39189.449999999997</v>
      </c>
      <c r="C102" s="2">
        <v>87.8</v>
      </c>
      <c r="D102" s="1">
        <f t="shared" si="8"/>
        <v>3440834</v>
      </c>
      <c r="E102" s="2">
        <v>131.9</v>
      </c>
      <c r="F102" s="1">
        <f t="shared" si="9"/>
        <v>5169088</v>
      </c>
      <c r="G102" s="2">
        <v>1.78</v>
      </c>
      <c r="H102" s="1">
        <f t="shared" si="10"/>
        <v>1.78E-2</v>
      </c>
      <c r="I102" s="1">
        <f t="shared" si="11"/>
        <v>6.1460000000000008</v>
      </c>
      <c r="J102" s="1">
        <f t="shared" si="12"/>
        <v>240858</v>
      </c>
      <c r="K102" s="2">
        <v>529000</v>
      </c>
      <c r="L102" s="3">
        <f t="shared" si="13"/>
        <v>209396</v>
      </c>
      <c r="M102" s="6">
        <v>68647</v>
      </c>
      <c r="N102" s="2">
        <v>31</v>
      </c>
      <c r="O102" s="2">
        <v>5.2</v>
      </c>
      <c r="P102" s="1">
        <f t="shared" si="15"/>
        <v>1.7999999999999998</v>
      </c>
      <c r="Q102" s="4">
        <v>45808</v>
      </c>
      <c r="R102" s="2">
        <v>0</v>
      </c>
      <c r="S102" s="2">
        <v>0</v>
      </c>
      <c r="T102" s="2">
        <v>0</v>
      </c>
      <c r="U102" s="2">
        <v>0</v>
      </c>
    </row>
    <row r="103" spans="1:21" x14ac:dyDescent="0.25">
      <c r="A103" s="1" t="s">
        <v>104</v>
      </c>
      <c r="B103" s="2">
        <v>39267.07</v>
      </c>
      <c r="C103" s="2">
        <v>87.8</v>
      </c>
      <c r="D103" s="1">
        <f t="shared" si="8"/>
        <v>3447649</v>
      </c>
      <c r="E103" s="2">
        <v>131.9</v>
      </c>
      <c r="F103" s="1">
        <f t="shared" si="9"/>
        <v>5179327</v>
      </c>
      <c r="G103" s="2">
        <v>1.78</v>
      </c>
      <c r="H103" s="1">
        <f t="shared" si="10"/>
        <v>1.78E-2</v>
      </c>
      <c r="I103" s="1">
        <f t="shared" si="11"/>
        <v>6.1460000000000008</v>
      </c>
      <c r="J103" s="1">
        <f t="shared" si="12"/>
        <v>241335</v>
      </c>
      <c r="K103" s="2">
        <v>529000</v>
      </c>
      <c r="L103" s="3">
        <f t="shared" si="13"/>
        <v>209396</v>
      </c>
      <c r="M103" s="6">
        <v>68648</v>
      </c>
      <c r="N103" s="2">
        <v>30</v>
      </c>
      <c r="O103" s="2">
        <v>5.2</v>
      </c>
      <c r="P103" s="1">
        <f t="shared" si="15"/>
        <v>1.7999999999999998</v>
      </c>
      <c r="Q103" s="4">
        <v>45838</v>
      </c>
      <c r="R103" s="2">
        <v>0</v>
      </c>
      <c r="S103" s="2">
        <v>0</v>
      </c>
      <c r="T103" s="2">
        <v>0</v>
      </c>
      <c r="U103" s="2">
        <v>0</v>
      </c>
    </row>
    <row r="104" spans="1:21" x14ac:dyDescent="0.25">
      <c r="A104" s="1" t="s">
        <v>105</v>
      </c>
      <c r="B104" s="2">
        <v>39179.01</v>
      </c>
      <c r="C104" s="2">
        <v>87.8</v>
      </c>
      <c r="D104" s="1">
        <f t="shared" si="8"/>
        <v>3439917</v>
      </c>
      <c r="E104" s="2">
        <v>131.9</v>
      </c>
      <c r="F104" s="1">
        <f t="shared" si="9"/>
        <v>5167711</v>
      </c>
      <c r="G104" s="2">
        <v>1.88</v>
      </c>
      <c r="H104" s="1">
        <f t="shared" si="10"/>
        <v>1.8799999999999997E-2</v>
      </c>
      <c r="I104" s="1">
        <f t="shared" si="11"/>
        <v>6.1460000000000008</v>
      </c>
      <c r="J104" s="1">
        <f t="shared" si="12"/>
        <v>240794</v>
      </c>
      <c r="K104" s="2">
        <v>529000</v>
      </c>
      <c r="L104" s="3">
        <f t="shared" si="13"/>
        <v>209396</v>
      </c>
      <c r="M104" s="6">
        <v>68785</v>
      </c>
      <c r="N104" s="2">
        <v>31</v>
      </c>
      <c r="O104" s="2">
        <v>5.2</v>
      </c>
      <c r="P104" s="1">
        <f t="shared" si="15"/>
        <v>1.7999999999999998</v>
      </c>
      <c r="Q104" s="4">
        <v>45869</v>
      </c>
      <c r="R104" s="2">
        <v>0</v>
      </c>
      <c r="S104" s="2">
        <v>0</v>
      </c>
      <c r="T104" s="2">
        <v>0</v>
      </c>
      <c r="U104" s="2">
        <v>0</v>
      </c>
    </row>
    <row r="105" spans="1:21" x14ac:dyDescent="0.25">
      <c r="A105" s="1" t="s">
        <v>106</v>
      </c>
      <c r="B105" s="2">
        <v>39383.07</v>
      </c>
      <c r="C105" s="2">
        <v>87.8</v>
      </c>
      <c r="D105" s="1">
        <f t="shared" si="8"/>
        <v>3457834</v>
      </c>
      <c r="E105" s="2">
        <v>131.9</v>
      </c>
      <c r="F105" s="1">
        <f t="shared" si="9"/>
        <v>5194627</v>
      </c>
      <c r="G105" s="2">
        <v>1.88</v>
      </c>
      <c r="H105" s="1">
        <f t="shared" si="10"/>
        <v>1.8799999999999997E-2</v>
      </c>
      <c r="I105" s="1">
        <f t="shared" si="11"/>
        <v>6.1460000000000008</v>
      </c>
      <c r="J105" s="1">
        <f t="shared" si="12"/>
        <v>242048</v>
      </c>
      <c r="K105" s="2">
        <v>529000</v>
      </c>
      <c r="L105" s="3">
        <f t="shared" si="13"/>
        <v>209396</v>
      </c>
      <c r="M105" s="6">
        <v>68923</v>
      </c>
      <c r="N105" s="2">
        <v>31</v>
      </c>
      <c r="O105" s="2">
        <v>5.2</v>
      </c>
      <c r="P105" s="1">
        <f t="shared" si="15"/>
        <v>1.7999999999999998</v>
      </c>
      <c r="Q105" s="4">
        <v>45900</v>
      </c>
      <c r="R105" s="2">
        <v>0.1</v>
      </c>
      <c r="S105" s="2">
        <v>0.9</v>
      </c>
      <c r="T105" s="2">
        <v>0</v>
      </c>
      <c r="U105" s="2">
        <v>0</v>
      </c>
    </row>
    <row r="106" spans="1:21" x14ac:dyDescent="0.25">
      <c r="A106" s="1" t="s">
        <v>107</v>
      </c>
      <c r="B106" s="2">
        <v>39485.65</v>
      </c>
      <c r="C106" s="2">
        <v>87.8</v>
      </c>
      <c r="D106" s="1">
        <f t="shared" si="8"/>
        <v>3466840</v>
      </c>
      <c r="E106" s="2">
        <v>131.9</v>
      </c>
      <c r="F106" s="1">
        <f t="shared" si="9"/>
        <v>5208157</v>
      </c>
      <c r="G106" s="2">
        <v>1.88</v>
      </c>
      <c r="H106" s="1">
        <f t="shared" si="10"/>
        <v>1.8799999999999997E-2</v>
      </c>
      <c r="I106" s="1">
        <f t="shared" si="11"/>
        <v>6.1460000000000008</v>
      </c>
      <c r="J106" s="1">
        <f t="shared" si="12"/>
        <v>242679</v>
      </c>
      <c r="K106" s="2">
        <v>529000</v>
      </c>
      <c r="L106" s="3">
        <f t="shared" si="13"/>
        <v>209396</v>
      </c>
      <c r="M106" s="6">
        <v>69265</v>
      </c>
      <c r="N106" s="2">
        <v>30</v>
      </c>
      <c r="O106" s="2">
        <v>5.2</v>
      </c>
      <c r="P106" s="1">
        <f t="shared" si="15"/>
        <v>1.7999999999999998</v>
      </c>
      <c r="Q106" s="4">
        <v>45930</v>
      </c>
      <c r="R106" s="2">
        <v>0.1</v>
      </c>
      <c r="S106" s="2">
        <v>0.9</v>
      </c>
      <c r="T106" s="2">
        <v>0</v>
      </c>
      <c r="U106" s="2">
        <v>0</v>
      </c>
    </row>
    <row r="107" spans="1:21" x14ac:dyDescent="0.25">
      <c r="A107" s="1" t="s">
        <v>108</v>
      </c>
      <c r="B107" s="2">
        <v>39597.67</v>
      </c>
      <c r="C107" s="2">
        <v>87.8</v>
      </c>
      <c r="D107" s="1">
        <f t="shared" si="8"/>
        <v>3476675</v>
      </c>
      <c r="E107" s="2">
        <v>131.9</v>
      </c>
      <c r="F107" s="1">
        <f t="shared" si="9"/>
        <v>5222933</v>
      </c>
      <c r="G107" s="2">
        <v>1.49</v>
      </c>
      <c r="H107" s="1">
        <f t="shared" si="10"/>
        <v>1.49E-2</v>
      </c>
      <c r="I107" s="1">
        <f t="shared" si="11"/>
        <v>6.1460000000000008</v>
      </c>
      <c r="J107" s="1">
        <f t="shared" si="12"/>
        <v>243367</v>
      </c>
      <c r="K107" s="2">
        <v>529000</v>
      </c>
      <c r="L107" s="3">
        <f t="shared" si="13"/>
        <v>209396</v>
      </c>
      <c r="M107" s="6">
        <v>69265</v>
      </c>
      <c r="N107" s="2">
        <v>31</v>
      </c>
      <c r="O107" s="2">
        <v>5.2</v>
      </c>
      <c r="P107" s="1">
        <f t="shared" si="15"/>
        <v>1.7999999999999998</v>
      </c>
      <c r="Q107" s="4">
        <v>45961</v>
      </c>
      <c r="R107" s="2">
        <v>0.1</v>
      </c>
      <c r="S107" s="2">
        <v>0.9</v>
      </c>
      <c r="T107" s="2">
        <v>0</v>
      </c>
      <c r="U107" s="2">
        <v>0</v>
      </c>
    </row>
    <row r="108" spans="1:21" x14ac:dyDescent="0.25">
      <c r="A108" s="1" t="s">
        <v>109</v>
      </c>
      <c r="B108" s="2">
        <v>39643.589999999997</v>
      </c>
      <c r="C108" s="2">
        <v>87.8</v>
      </c>
      <c r="D108" s="1">
        <f t="shared" si="8"/>
        <v>3480707</v>
      </c>
      <c r="E108" s="2">
        <v>131.9</v>
      </c>
      <c r="F108" s="1">
        <f t="shared" si="9"/>
        <v>5228990</v>
      </c>
      <c r="G108" s="2">
        <v>1.49</v>
      </c>
      <c r="H108" s="1">
        <f t="shared" si="10"/>
        <v>1.49E-2</v>
      </c>
      <c r="I108" s="1">
        <f t="shared" si="11"/>
        <v>6.1460000000000008</v>
      </c>
      <c r="J108" s="1">
        <f t="shared" si="12"/>
        <v>243650</v>
      </c>
      <c r="K108" s="2">
        <v>529000</v>
      </c>
      <c r="L108" s="3">
        <f t="shared" si="13"/>
        <v>209396</v>
      </c>
      <c r="M108" s="6">
        <v>69542</v>
      </c>
      <c r="N108" s="2">
        <v>30</v>
      </c>
      <c r="O108" s="2">
        <v>4.5</v>
      </c>
      <c r="P108" s="1">
        <f t="shared" si="15"/>
        <v>2.5</v>
      </c>
      <c r="Q108" s="4">
        <v>45991</v>
      </c>
      <c r="R108" s="2">
        <v>0.1</v>
      </c>
      <c r="S108" s="2">
        <v>0.9</v>
      </c>
      <c r="T108" s="2">
        <v>0</v>
      </c>
      <c r="U108" s="2">
        <v>0</v>
      </c>
    </row>
    <row r="109" spans="1:21" x14ac:dyDescent="0.25">
      <c r="A109" s="1" t="s">
        <v>110</v>
      </c>
      <c r="B109" s="2">
        <v>39727.96</v>
      </c>
      <c r="C109" s="2">
        <v>87.8</v>
      </c>
      <c r="D109" s="1">
        <f t="shared" si="8"/>
        <v>3488115</v>
      </c>
      <c r="E109" s="2">
        <v>131.9</v>
      </c>
      <c r="F109" s="1">
        <f t="shared" si="9"/>
        <v>5240118</v>
      </c>
      <c r="G109" s="2">
        <v>1.49</v>
      </c>
      <c r="H109" s="1">
        <f t="shared" si="10"/>
        <v>1.49E-2</v>
      </c>
      <c r="I109" s="1">
        <f t="shared" si="11"/>
        <v>6.1460000000000008</v>
      </c>
      <c r="J109" s="1">
        <f t="shared" si="12"/>
        <v>244168</v>
      </c>
      <c r="K109" s="2">
        <v>529000</v>
      </c>
      <c r="L109" s="3">
        <f t="shared" si="13"/>
        <v>209396</v>
      </c>
      <c r="M109" s="6">
        <v>69542</v>
      </c>
      <c r="N109" s="2">
        <v>31</v>
      </c>
      <c r="O109" s="2">
        <v>4.5</v>
      </c>
      <c r="P109" s="1">
        <f t="shared" si="15"/>
        <v>2.5</v>
      </c>
      <c r="Q109" s="4">
        <v>46022</v>
      </c>
      <c r="R109" s="2">
        <v>0.1</v>
      </c>
      <c r="S109" s="2">
        <v>0.9</v>
      </c>
      <c r="T109" s="2">
        <v>0</v>
      </c>
      <c r="U109" s="2">
        <v>0</v>
      </c>
    </row>
    <row r="110" spans="1:21" x14ac:dyDescent="0.25">
      <c r="A110" s="1" t="s">
        <v>111</v>
      </c>
      <c r="B110" s="2">
        <v>39706.07</v>
      </c>
      <c r="C110" s="2">
        <v>89.9</v>
      </c>
      <c r="D110" s="1">
        <f t="shared" si="8"/>
        <v>3569576</v>
      </c>
      <c r="E110" s="2">
        <v>135.1</v>
      </c>
      <c r="F110" s="1">
        <f t="shared" si="9"/>
        <v>5364290</v>
      </c>
      <c r="G110" s="2">
        <v>1.54</v>
      </c>
      <c r="H110" s="1">
        <f t="shared" si="10"/>
        <v>1.54E-2</v>
      </c>
      <c r="I110" s="1">
        <f t="shared" si="11"/>
        <v>6.293000000000001</v>
      </c>
      <c r="J110" s="1">
        <f t="shared" si="12"/>
        <v>249870</v>
      </c>
      <c r="K110" s="2">
        <v>539000</v>
      </c>
      <c r="L110" s="3">
        <f t="shared" si="13"/>
        <v>213354</v>
      </c>
      <c r="M110" s="6">
        <v>69751</v>
      </c>
      <c r="N110" s="2">
        <v>31</v>
      </c>
      <c r="O110" s="2">
        <v>3.1</v>
      </c>
      <c r="P110" s="1">
        <f t="shared" si="15"/>
        <v>3.9</v>
      </c>
      <c r="Q110" s="4">
        <v>46053</v>
      </c>
      <c r="R110" s="2">
        <v>0.1</v>
      </c>
      <c r="S110" s="2">
        <v>0.9</v>
      </c>
      <c r="T110" s="2">
        <v>0</v>
      </c>
      <c r="U110" s="2">
        <v>0</v>
      </c>
    </row>
    <row r="111" spans="1:21" x14ac:dyDescent="0.25">
      <c r="A111" s="1" t="s">
        <v>112</v>
      </c>
      <c r="B111" s="2">
        <v>39790.629999999997</v>
      </c>
      <c r="C111" s="2">
        <v>90</v>
      </c>
      <c r="D111" s="1">
        <f t="shared" si="8"/>
        <v>3581157</v>
      </c>
      <c r="E111" s="2">
        <v>135.19999999999999</v>
      </c>
      <c r="F111" s="1">
        <f t="shared" si="9"/>
        <v>5379693</v>
      </c>
      <c r="G111" s="2">
        <v>1.54</v>
      </c>
      <c r="H111" s="1">
        <f t="shared" si="10"/>
        <v>1.54E-2</v>
      </c>
      <c r="I111" s="1">
        <f t="shared" si="11"/>
        <v>6.3000000000000007</v>
      </c>
      <c r="J111" s="1">
        <f t="shared" si="12"/>
        <v>250681</v>
      </c>
      <c r="K111" s="2">
        <v>539000</v>
      </c>
      <c r="L111" s="3">
        <f t="shared" si="13"/>
        <v>213354</v>
      </c>
      <c r="M111" s="6">
        <v>69611</v>
      </c>
      <c r="N111" s="2">
        <v>30</v>
      </c>
      <c r="O111" s="2">
        <v>4.2</v>
      </c>
      <c r="P111" s="1">
        <f t="shared" si="15"/>
        <v>2.8</v>
      </c>
      <c r="Q111" s="4">
        <v>46081</v>
      </c>
      <c r="R111" s="2">
        <v>0.1</v>
      </c>
      <c r="S111" s="2">
        <v>0.9</v>
      </c>
      <c r="T111" s="2">
        <v>0</v>
      </c>
      <c r="U111" s="2">
        <v>0</v>
      </c>
    </row>
    <row r="112" spans="1:21" x14ac:dyDescent="0.25">
      <c r="A112" s="1" t="s">
        <v>113</v>
      </c>
      <c r="B112" s="2">
        <v>39841.72</v>
      </c>
      <c r="C112" s="2">
        <v>90</v>
      </c>
      <c r="D112" s="1">
        <f t="shared" si="8"/>
        <v>3585755</v>
      </c>
      <c r="E112" s="2">
        <v>135.19999999999999</v>
      </c>
      <c r="F112" s="1">
        <f t="shared" si="9"/>
        <v>5386601</v>
      </c>
      <c r="G112" s="2">
        <v>1.54</v>
      </c>
      <c r="H112" s="1">
        <f t="shared" si="10"/>
        <v>1.54E-2</v>
      </c>
      <c r="I112" s="1">
        <f t="shared" si="11"/>
        <v>6.3000000000000007</v>
      </c>
      <c r="J112" s="1">
        <f t="shared" si="12"/>
        <v>251003</v>
      </c>
      <c r="K112" s="2">
        <v>539000</v>
      </c>
      <c r="L112" s="3">
        <f t="shared" si="13"/>
        <v>213354</v>
      </c>
      <c r="M112" s="6">
        <v>69889</v>
      </c>
      <c r="N112" s="2">
        <v>31</v>
      </c>
      <c r="O112" s="2">
        <v>4.2</v>
      </c>
      <c r="P112" s="1">
        <f t="shared" si="15"/>
        <v>2.8</v>
      </c>
      <c r="Q112" s="4">
        <v>46111</v>
      </c>
      <c r="R112" s="2">
        <v>0.1</v>
      </c>
      <c r="S112" s="2">
        <v>0.9</v>
      </c>
      <c r="T112" s="2">
        <v>0</v>
      </c>
      <c r="U112" s="2">
        <v>0</v>
      </c>
    </row>
    <row r="113" spans="1:21" x14ac:dyDescent="0.25">
      <c r="A113" s="1" t="s">
        <v>114</v>
      </c>
      <c r="B113" s="2">
        <v>40120.199999999997</v>
      </c>
      <c r="C113" s="2">
        <v>90</v>
      </c>
      <c r="D113" s="1">
        <f t="shared" si="8"/>
        <v>3610818</v>
      </c>
      <c r="E113" s="2">
        <v>135.19999999999999</v>
      </c>
      <c r="F113" s="1">
        <f t="shared" si="9"/>
        <v>5424251</v>
      </c>
      <c r="G113" s="2">
        <v>1.62</v>
      </c>
      <c r="H113" s="1">
        <f t="shared" si="10"/>
        <v>1.6200000000000003E-2</v>
      </c>
      <c r="I113" s="1">
        <f t="shared" si="11"/>
        <v>6.3000000000000007</v>
      </c>
      <c r="J113" s="1">
        <f t="shared" si="12"/>
        <v>252757</v>
      </c>
      <c r="K113" s="2">
        <v>539000</v>
      </c>
      <c r="L113" s="3">
        <f t="shared" si="13"/>
        <v>213354</v>
      </c>
      <c r="M113" s="6">
        <v>69889</v>
      </c>
      <c r="N113" s="2">
        <v>30</v>
      </c>
      <c r="O113" s="2">
        <v>4.2</v>
      </c>
      <c r="P113" s="1">
        <f t="shared" si="15"/>
        <v>2.8</v>
      </c>
      <c r="Q113" s="4">
        <v>46142</v>
      </c>
      <c r="R113" s="2">
        <v>0.1</v>
      </c>
      <c r="S113" s="2">
        <v>0.9</v>
      </c>
      <c r="T113" s="2">
        <v>0</v>
      </c>
      <c r="U113" s="2">
        <v>0</v>
      </c>
    </row>
    <row r="114" spans="1:21" x14ac:dyDescent="0.25">
      <c r="A114" s="1" t="s">
        <v>131</v>
      </c>
      <c r="B114" s="2">
        <v>40610.69</v>
      </c>
      <c r="C114" s="2">
        <v>90</v>
      </c>
      <c r="D114" s="1">
        <f t="shared" si="8"/>
        <v>3654962</v>
      </c>
      <c r="E114" s="2">
        <v>135.19999999999999</v>
      </c>
      <c r="F114" s="1">
        <f t="shared" si="9"/>
        <v>5490565</v>
      </c>
      <c r="G114" s="2">
        <v>1.62</v>
      </c>
      <c r="H114" s="1">
        <f t="shared" ref="H114:H121" si="16">G114/100</f>
        <v>1.6200000000000003E-2</v>
      </c>
      <c r="I114" s="1">
        <f t="shared" ref="I114:I121" si="17">+C114*0.07</f>
        <v>6.3000000000000007</v>
      </c>
      <c r="J114" s="1">
        <f t="shared" ref="J114:J121" si="18">ROUND(B114*I114,0)</f>
        <v>255847</v>
      </c>
      <c r="K114" s="2">
        <v>539000</v>
      </c>
      <c r="L114" s="3">
        <f t="shared" si="13"/>
        <v>213354</v>
      </c>
      <c r="M114" s="7">
        <v>70588</v>
      </c>
      <c r="N114" s="2">
        <v>31</v>
      </c>
      <c r="O114" s="2">
        <v>4.2</v>
      </c>
      <c r="P114" s="1">
        <f t="shared" si="15"/>
        <v>2.8</v>
      </c>
      <c r="Q114" s="4">
        <v>46173</v>
      </c>
      <c r="R114" s="2">
        <v>0.1</v>
      </c>
      <c r="S114" s="2">
        <v>0.9</v>
      </c>
      <c r="T114" s="2">
        <v>0</v>
      </c>
      <c r="U114" s="2">
        <v>0</v>
      </c>
    </row>
    <row r="115" spans="1:21" x14ac:dyDescent="0.25">
      <c r="A115" s="1" t="s">
        <v>132</v>
      </c>
      <c r="B115" s="2">
        <v>40820.31</v>
      </c>
      <c r="C115" s="2">
        <v>90</v>
      </c>
      <c r="D115" s="1">
        <f t="shared" si="8"/>
        <v>3673828</v>
      </c>
      <c r="E115" s="2">
        <v>135.19999999999999</v>
      </c>
      <c r="F115" s="1">
        <f t="shared" si="9"/>
        <v>5518906</v>
      </c>
      <c r="G115" s="2">
        <v>1.62</v>
      </c>
      <c r="H115" s="1">
        <f t="shared" si="16"/>
        <v>1.6200000000000003E-2</v>
      </c>
      <c r="I115" s="1">
        <f t="shared" si="17"/>
        <v>6.3000000000000007</v>
      </c>
      <c r="J115" s="1">
        <f t="shared" si="18"/>
        <v>257168</v>
      </c>
      <c r="K115" s="2">
        <v>553553</v>
      </c>
      <c r="L115" s="3">
        <f t="shared" si="13"/>
        <v>219115</v>
      </c>
      <c r="M115" s="7">
        <v>71506</v>
      </c>
      <c r="N115" s="2">
        <v>30</v>
      </c>
      <c r="O115" s="2">
        <v>4.2</v>
      </c>
      <c r="P115" s="1">
        <f t="shared" si="15"/>
        <v>2.8</v>
      </c>
      <c r="Q115" s="4">
        <v>46203</v>
      </c>
      <c r="R115" s="2">
        <v>0.1</v>
      </c>
      <c r="S115" s="2">
        <v>0.9</v>
      </c>
      <c r="T115" s="2">
        <v>0</v>
      </c>
      <c r="U115" s="2">
        <v>0</v>
      </c>
    </row>
    <row r="116" spans="1:21" x14ac:dyDescent="0.25">
      <c r="A116" s="1" t="s">
        <v>133</v>
      </c>
      <c r="B116" s="2">
        <v>40844.79</v>
      </c>
      <c r="C116" s="2">
        <v>90</v>
      </c>
      <c r="D116" s="1">
        <f t="shared" si="8"/>
        <v>3676031</v>
      </c>
      <c r="E116" s="2">
        <v>135.19999999999999</v>
      </c>
      <c r="F116" s="1">
        <f t="shared" si="9"/>
        <v>5522216</v>
      </c>
      <c r="G116" s="8">
        <v>2</v>
      </c>
      <c r="H116" s="1">
        <f t="shared" si="16"/>
        <v>0.02</v>
      </c>
      <c r="I116" s="1">
        <f t="shared" si="17"/>
        <v>6.3000000000000007</v>
      </c>
      <c r="J116" s="1">
        <f t="shared" si="18"/>
        <v>257322</v>
      </c>
      <c r="K116" s="2">
        <v>553553</v>
      </c>
      <c r="L116" s="3">
        <f t="shared" si="13"/>
        <v>219115</v>
      </c>
      <c r="M116" s="9">
        <v>71649</v>
      </c>
      <c r="N116" s="2">
        <v>31</v>
      </c>
      <c r="O116" s="2">
        <v>4.2</v>
      </c>
      <c r="P116" s="1">
        <f t="shared" si="15"/>
        <v>2.8</v>
      </c>
      <c r="Q116" s="4">
        <v>46234</v>
      </c>
      <c r="R116" s="2">
        <v>0.1</v>
      </c>
      <c r="S116" s="2">
        <v>0.9</v>
      </c>
      <c r="T116" s="2">
        <v>0</v>
      </c>
      <c r="U116" s="2">
        <v>0</v>
      </c>
    </row>
    <row r="117" spans="1:21" x14ac:dyDescent="0.25">
      <c r="A117" s="1" t="s">
        <v>134</v>
      </c>
      <c r="B117" s="16">
        <v>40873.769999999997</v>
      </c>
      <c r="C117" s="2">
        <v>90</v>
      </c>
      <c r="D117" s="1">
        <f t="shared" si="8"/>
        <v>3678639</v>
      </c>
      <c r="E117" s="2">
        <v>135.19999999999999</v>
      </c>
      <c r="F117" s="1">
        <f t="shared" si="9"/>
        <v>5526134</v>
      </c>
      <c r="G117" s="2">
        <v>1.78</v>
      </c>
      <c r="H117" s="1">
        <f t="shared" si="16"/>
        <v>1.78E-2</v>
      </c>
      <c r="I117" s="1">
        <f t="shared" si="17"/>
        <v>6.3000000000000007</v>
      </c>
      <c r="J117" s="1">
        <f t="shared" si="18"/>
        <v>257505</v>
      </c>
      <c r="K117" s="2">
        <v>553553</v>
      </c>
      <c r="L117" s="3">
        <f t="shared" si="13"/>
        <v>219115</v>
      </c>
      <c r="M117" s="2">
        <v>72649</v>
      </c>
      <c r="N117" s="2">
        <v>31</v>
      </c>
      <c r="O117" s="2">
        <v>4.2</v>
      </c>
      <c r="P117" s="1">
        <f t="shared" si="15"/>
        <v>2.8</v>
      </c>
      <c r="Q117" s="4">
        <v>46265</v>
      </c>
      <c r="R117" s="2">
        <v>0.1</v>
      </c>
      <c r="S117" s="2">
        <v>0.72</v>
      </c>
      <c r="T117" s="2">
        <v>0.9</v>
      </c>
      <c r="U117" s="2">
        <f>+S117+G117</f>
        <v>2.5</v>
      </c>
    </row>
    <row r="118" spans="1:21" x14ac:dyDescent="0.25">
      <c r="A118" s="1" t="s">
        <v>135</v>
      </c>
      <c r="B118" s="16">
        <v>41057.199999999997</v>
      </c>
      <c r="C118" s="2">
        <v>90</v>
      </c>
      <c r="D118" s="1">
        <f t="shared" si="8"/>
        <v>3695148</v>
      </c>
      <c r="E118" s="2">
        <v>135.19999999999999</v>
      </c>
      <c r="F118" s="1">
        <f t="shared" si="9"/>
        <v>5550933</v>
      </c>
      <c r="G118" s="2">
        <v>1.78</v>
      </c>
      <c r="H118" s="1">
        <f t="shared" si="16"/>
        <v>1.78E-2</v>
      </c>
      <c r="I118" s="1">
        <f t="shared" si="17"/>
        <v>6.3000000000000007</v>
      </c>
      <c r="J118" s="1">
        <f t="shared" si="18"/>
        <v>258660</v>
      </c>
      <c r="K118" s="2">
        <v>553553</v>
      </c>
      <c r="L118" s="3">
        <f t="shared" si="13"/>
        <v>219115</v>
      </c>
      <c r="M118" s="17">
        <v>71721</v>
      </c>
      <c r="N118" s="2">
        <v>30</v>
      </c>
      <c r="O118" s="2">
        <v>4.2</v>
      </c>
      <c r="P118" s="1">
        <f t="shared" si="15"/>
        <v>2.8</v>
      </c>
      <c r="Q118" s="4">
        <v>46295</v>
      </c>
      <c r="R118" s="2">
        <v>0.1</v>
      </c>
      <c r="S118" s="2">
        <v>0.72</v>
      </c>
      <c r="T118" s="2">
        <v>0.9</v>
      </c>
      <c r="U118" s="2">
        <f t="shared" ref="U118:U140" si="19">+S118+G118</f>
        <v>2.5</v>
      </c>
    </row>
    <row r="119" spans="1:21" x14ac:dyDescent="0.25">
      <c r="A119" s="1" t="s">
        <v>136</v>
      </c>
      <c r="B119" s="2"/>
      <c r="C119" s="2"/>
      <c r="D119" s="1">
        <f t="shared" si="8"/>
        <v>0</v>
      </c>
      <c r="E119" s="2"/>
      <c r="F119" s="1">
        <f t="shared" si="9"/>
        <v>0</v>
      </c>
      <c r="G119" s="2"/>
      <c r="H119" s="1">
        <f t="shared" si="16"/>
        <v>0</v>
      </c>
      <c r="I119" s="1">
        <f t="shared" si="17"/>
        <v>0</v>
      </c>
      <c r="J119" s="1">
        <f t="shared" si="18"/>
        <v>0</v>
      </c>
      <c r="K119" s="2"/>
      <c r="L119" s="3">
        <f t="shared" si="13"/>
        <v>0</v>
      </c>
      <c r="M119" s="2"/>
      <c r="N119" s="2">
        <v>31</v>
      </c>
      <c r="O119" s="2"/>
      <c r="P119" s="1">
        <f t="shared" si="15"/>
        <v>7</v>
      </c>
      <c r="Q119" s="4">
        <v>46326</v>
      </c>
      <c r="R119" s="2">
        <v>0.1</v>
      </c>
      <c r="S119" s="2"/>
      <c r="T119" s="2"/>
      <c r="U119" s="2">
        <f t="shared" si="19"/>
        <v>0</v>
      </c>
    </row>
    <row r="120" spans="1:21" x14ac:dyDescent="0.25">
      <c r="A120" s="1" t="s">
        <v>137</v>
      </c>
      <c r="B120" s="2"/>
      <c r="C120" s="2"/>
      <c r="D120" s="1">
        <f t="shared" si="8"/>
        <v>0</v>
      </c>
      <c r="E120" s="2"/>
      <c r="F120" s="1">
        <f t="shared" si="9"/>
        <v>0</v>
      </c>
      <c r="G120" s="2"/>
      <c r="H120" s="1">
        <f t="shared" si="16"/>
        <v>0</v>
      </c>
      <c r="I120" s="1">
        <f t="shared" si="17"/>
        <v>0</v>
      </c>
      <c r="J120" s="1">
        <f t="shared" si="18"/>
        <v>0</v>
      </c>
      <c r="K120" s="2"/>
      <c r="L120" s="3">
        <f t="shared" si="13"/>
        <v>0</v>
      </c>
      <c r="M120" s="2"/>
      <c r="N120" s="2">
        <v>30</v>
      </c>
      <c r="O120" s="2"/>
      <c r="P120" s="1">
        <f t="shared" si="15"/>
        <v>7</v>
      </c>
      <c r="Q120" s="4">
        <v>46356</v>
      </c>
      <c r="R120" s="2">
        <v>0.1</v>
      </c>
      <c r="S120" s="2"/>
      <c r="T120" s="2"/>
      <c r="U120" s="2">
        <f t="shared" si="19"/>
        <v>0</v>
      </c>
    </row>
    <row r="121" spans="1:21" x14ac:dyDescent="0.25">
      <c r="A121" s="1" t="s">
        <v>138</v>
      </c>
      <c r="B121" s="2"/>
      <c r="C121" s="2"/>
      <c r="D121" s="1">
        <f t="shared" si="8"/>
        <v>0</v>
      </c>
      <c r="E121" s="2"/>
      <c r="F121" s="1">
        <f t="shared" si="9"/>
        <v>0</v>
      </c>
      <c r="G121" s="2"/>
      <c r="H121" s="1">
        <f t="shared" si="16"/>
        <v>0</v>
      </c>
      <c r="I121" s="1">
        <f t="shared" si="17"/>
        <v>0</v>
      </c>
      <c r="J121" s="1">
        <f t="shared" si="18"/>
        <v>0</v>
      </c>
      <c r="K121" s="2"/>
      <c r="L121" s="3">
        <f t="shared" si="13"/>
        <v>0</v>
      </c>
      <c r="M121" s="2"/>
      <c r="N121" s="2">
        <v>31</v>
      </c>
      <c r="O121" s="2"/>
      <c r="P121" s="1">
        <f t="shared" si="15"/>
        <v>7</v>
      </c>
      <c r="Q121" s="4">
        <v>46387</v>
      </c>
      <c r="R121" s="2">
        <v>0.1</v>
      </c>
      <c r="S121" s="2"/>
      <c r="T121" s="2"/>
      <c r="U121" s="2">
        <f t="shared" si="19"/>
        <v>0</v>
      </c>
    </row>
    <row r="122" spans="1:21" x14ac:dyDescent="0.25">
      <c r="A122" s="1" t="s">
        <v>139</v>
      </c>
      <c r="B122" s="2"/>
      <c r="C122" s="2"/>
      <c r="D122" s="1">
        <f t="shared" ref="D122:D133" si="20">ROUND(B122*C122,0)</f>
        <v>0</v>
      </c>
      <c r="E122" s="2"/>
      <c r="F122" s="1">
        <f t="shared" ref="F122:F133" si="21">ROUND(B122*E122,0)</f>
        <v>0</v>
      </c>
      <c r="G122" s="2"/>
      <c r="H122" s="1">
        <f t="shared" ref="H122:H133" si="22">G122/100</f>
        <v>0</v>
      </c>
      <c r="I122" s="1">
        <f t="shared" ref="I122:I133" si="23">+C122*0.07</f>
        <v>0</v>
      </c>
      <c r="J122" s="1">
        <f t="shared" ref="J122:J133" si="24">ROUND(B122*I122,0)</f>
        <v>0</v>
      </c>
      <c r="K122" s="2"/>
      <c r="L122" s="3">
        <f t="shared" ref="L122:L140" si="25">ROUND((K122*4.75)/12,0)</f>
        <v>0</v>
      </c>
      <c r="M122" s="2"/>
      <c r="N122" s="2">
        <v>31</v>
      </c>
      <c r="O122" s="2"/>
      <c r="P122" s="1">
        <f t="shared" si="15"/>
        <v>7</v>
      </c>
      <c r="Q122" s="4">
        <v>46418</v>
      </c>
      <c r="R122" s="2">
        <v>0.1</v>
      </c>
      <c r="S122" s="2"/>
      <c r="T122" s="2"/>
      <c r="U122" s="2">
        <f t="shared" si="19"/>
        <v>0</v>
      </c>
    </row>
    <row r="123" spans="1:21" x14ac:dyDescent="0.25">
      <c r="A123" s="1" t="s">
        <v>140</v>
      </c>
      <c r="B123" s="2"/>
      <c r="C123" s="2"/>
      <c r="D123" s="1">
        <f t="shared" si="20"/>
        <v>0</v>
      </c>
      <c r="E123" s="2"/>
      <c r="F123" s="1">
        <f t="shared" si="21"/>
        <v>0</v>
      </c>
      <c r="G123" s="2"/>
      <c r="H123" s="1">
        <f t="shared" si="22"/>
        <v>0</v>
      </c>
      <c r="I123" s="1">
        <f t="shared" si="23"/>
        <v>0</v>
      </c>
      <c r="J123" s="1">
        <f t="shared" si="24"/>
        <v>0</v>
      </c>
      <c r="K123" s="2"/>
      <c r="L123" s="3">
        <f t="shared" si="25"/>
        <v>0</v>
      </c>
      <c r="M123" s="2"/>
      <c r="N123" s="2">
        <v>30</v>
      </c>
      <c r="O123" s="2"/>
      <c r="P123" s="1">
        <f t="shared" si="15"/>
        <v>7</v>
      </c>
      <c r="Q123" s="4">
        <v>46446</v>
      </c>
      <c r="R123" s="2">
        <v>0.1</v>
      </c>
      <c r="S123" s="2"/>
      <c r="T123" s="2"/>
      <c r="U123" s="2">
        <f t="shared" si="19"/>
        <v>0</v>
      </c>
    </row>
    <row r="124" spans="1:21" x14ac:dyDescent="0.25">
      <c r="A124" s="1" t="s">
        <v>141</v>
      </c>
      <c r="B124" s="2"/>
      <c r="C124" s="2"/>
      <c r="D124" s="1">
        <f t="shared" si="20"/>
        <v>0</v>
      </c>
      <c r="E124" s="2"/>
      <c r="F124" s="1">
        <f t="shared" si="21"/>
        <v>0</v>
      </c>
      <c r="G124" s="2"/>
      <c r="H124" s="1">
        <f t="shared" si="22"/>
        <v>0</v>
      </c>
      <c r="I124" s="1">
        <f t="shared" si="23"/>
        <v>0</v>
      </c>
      <c r="J124" s="1">
        <f t="shared" si="24"/>
        <v>0</v>
      </c>
      <c r="K124" s="2"/>
      <c r="L124" s="3">
        <f t="shared" si="25"/>
        <v>0</v>
      </c>
      <c r="M124" s="2"/>
      <c r="N124" s="2">
        <v>31</v>
      </c>
      <c r="O124" s="2"/>
      <c r="P124" s="1">
        <f t="shared" si="15"/>
        <v>7</v>
      </c>
      <c r="Q124" s="4">
        <v>46476</v>
      </c>
      <c r="R124" s="2">
        <v>0.1</v>
      </c>
      <c r="S124" s="2"/>
      <c r="T124" s="2"/>
      <c r="U124" s="2">
        <f t="shared" si="19"/>
        <v>0</v>
      </c>
    </row>
    <row r="125" spans="1:21" x14ac:dyDescent="0.25">
      <c r="A125" s="1" t="s">
        <v>142</v>
      </c>
      <c r="B125" s="2"/>
      <c r="C125" s="2"/>
      <c r="D125" s="1">
        <f t="shared" si="20"/>
        <v>0</v>
      </c>
      <c r="E125" s="2"/>
      <c r="F125" s="1">
        <f t="shared" si="21"/>
        <v>0</v>
      </c>
      <c r="G125" s="2"/>
      <c r="H125" s="1">
        <f t="shared" si="22"/>
        <v>0</v>
      </c>
      <c r="I125" s="1">
        <f t="shared" si="23"/>
        <v>0</v>
      </c>
      <c r="J125" s="1">
        <f t="shared" si="24"/>
        <v>0</v>
      </c>
      <c r="K125" s="2"/>
      <c r="L125" s="3">
        <f t="shared" si="25"/>
        <v>0</v>
      </c>
      <c r="M125" s="2"/>
      <c r="N125" s="2">
        <v>30</v>
      </c>
      <c r="O125" s="2"/>
      <c r="P125" s="1">
        <f t="shared" si="15"/>
        <v>7</v>
      </c>
      <c r="Q125" s="4">
        <v>46507</v>
      </c>
      <c r="R125" s="2">
        <v>0.1</v>
      </c>
      <c r="S125" s="2"/>
      <c r="T125" s="2"/>
      <c r="U125" s="2">
        <f t="shared" si="19"/>
        <v>0</v>
      </c>
    </row>
    <row r="126" spans="1:21" x14ac:dyDescent="0.25">
      <c r="A126" s="1" t="s">
        <v>143</v>
      </c>
      <c r="B126" s="2"/>
      <c r="C126" s="2"/>
      <c r="D126" s="1">
        <f t="shared" si="20"/>
        <v>0</v>
      </c>
      <c r="E126" s="2"/>
      <c r="F126" s="1">
        <f t="shared" si="21"/>
        <v>0</v>
      </c>
      <c r="G126" s="2"/>
      <c r="H126" s="1">
        <f t="shared" si="22"/>
        <v>0</v>
      </c>
      <c r="I126" s="1">
        <f t="shared" si="23"/>
        <v>0</v>
      </c>
      <c r="J126" s="1">
        <f t="shared" si="24"/>
        <v>0</v>
      </c>
      <c r="K126" s="2"/>
      <c r="L126" s="3">
        <f t="shared" si="25"/>
        <v>0</v>
      </c>
      <c r="M126" s="2"/>
      <c r="N126" s="2">
        <v>31</v>
      </c>
      <c r="O126" s="2"/>
      <c r="P126" s="1">
        <f t="shared" si="15"/>
        <v>7</v>
      </c>
      <c r="Q126" s="4">
        <v>46538</v>
      </c>
      <c r="R126" s="2">
        <v>0.1</v>
      </c>
      <c r="S126" s="2"/>
      <c r="T126" s="2"/>
      <c r="U126" s="2">
        <f t="shared" si="19"/>
        <v>0</v>
      </c>
    </row>
    <row r="127" spans="1:21" x14ac:dyDescent="0.25">
      <c r="A127" s="1" t="s">
        <v>144</v>
      </c>
      <c r="B127" s="2"/>
      <c r="C127" s="2"/>
      <c r="D127" s="1">
        <f t="shared" si="20"/>
        <v>0</v>
      </c>
      <c r="E127" s="2"/>
      <c r="F127" s="1">
        <f t="shared" si="21"/>
        <v>0</v>
      </c>
      <c r="G127" s="2"/>
      <c r="H127" s="1">
        <f t="shared" si="22"/>
        <v>0</v>
      </c>
      <c r="I127" s="1">
        <f t="shared" si="23"/>
        <v>0</v>
      </c>
      <c r="J127" s="1">
        <f t="shared" si="24"/>
        <v>0</v>
      </c>
      <c r="K127" s="2"/>
      <c r="L127" s="3">
        <f t="shared" si="25"/>
        <v>0</v>
      </c>
      <c r="M127" s="2"/>
      <c r="N127" s="2">
        <v>30</v>
      </c>
      <c r="O127" s="2"/>
      <c r="P127" s="1">
        <f t="shared" si="15"/>
        <v>7</v>
      </c>
      <c r="Q127" s="4">
        <v>46568</v>
      </c>
      <c r="R127" s="2">
        <v>0.1</v>
      </c>
      <c r="S127" s="2"/>
      <c r="T127" s="2"/>
      <c r="U127" s="2">
        <f t="shared" si="19"/>
        <v>0</v>
      </c>
    </row>
    <row r="128" spans="1:21" x14ac:dyDescent="0.25">
      <c r="A128" s="1" t="s">
        <v>145</v>
      </c>
      <c r="B128" s="2"/>
      <c r="C128" s="2"/>
      <c r="D128" s="1">
        <f t="shared" si="20"/>
        <v>0</v>
      </c>
      <c r="E128" s="2"/>
      <c r="F128" s="1">
        <f t="shared" si="21"/>
        <v>0</v>
      </c>
      <c r="G128" s="2"/>
      <c r="H128" s="1">
        <f t="shared" si="22"/>
        <v>0</v>
      </c>
      <c r="I128" s="1">
        <f t="shared" si="23"/>
        <v>0</v>
      </c>
      <c r="J128" s="1">
        <f t="shared" si="24"/>
        <v>0</v>
      </c>
      <c r="K128" s="2"/>
      <c r="L128" s="3">
        <f t="shared" si="25"/>
        <v>0</v>
      </c>
      <c r="M128" s="2"/>
      <c r="N128" s="2">
        <v>31</v>
      </c>
      <c r="O128" s="2"/>
      <c r="P128" s="1">
        <f t="shared" si="15"/>
        <v>7</v>
      </c>
      <c r="Q128" s="4">
        <v>46599</v>
      </c>
      <c r="R128" s="2">
        <v>0.1</v>
      </c>
      <c r="S128" s="2"/>
      <c r="T128" s="2"/>
      <c r="U128" s="2">
        <f t="shared" si="19"/>
        <v>0</v>
      </c>
    </row>
    <row r="129" spans="1:21" x14ac:dyDescent="0.25">
      <c r="A129" s="1" t="s">
        <v>146</v>
      </c>
      <c r="B129" s="2"/>
      <c r="C129" s="2"/>
      <c r="D129" s="1">
        <f t="shared" si="20"/>
        <v>0</v>
      </c>
      <c r="E129" s="2"/>
      <c r="F129" s="1">
        <f t="shared" si="21"/>
        <v>0</v>
      </c>
      <c r="G129" s="2"/>
      <c r="H129" s="1">
        <f t="shared" si="22"/>
        <v>0</v>
      </c>
      <c r="I129" s="1">
        <f t="shared" si="23"/>
        <v>0</v>
      </c>
      <c r="J129" s="1">
        <f t="shared" si="24"/>
        <v>0</v>
      </c>
      <c r="K129" s="2"/>
      <c r="L129" s="3">
        <f t="shared" si="25"/>
        <v>0</v>
      </c>
      <c r="M129" s="2"/>
      <c r="N129" s="2">
        <v>31</v>
      </c>
      <c r="O129" s="2"/>
      <c r="P129" s="1">
        <f t="shared" si="15"/>
        <v>7</v>
      </c>
      <c r="Q129" s="4">
        <v>46630</v>
      </c>
      <c r="R129" s="2">
        <v>0.25</v>
      </c>
      <c r="S129" s="2"/>
      <c r="T129" s="2"/>
      <c r="U129" s="2">
        <f t="shared" si="19"/>
        <v>0</v>
      </c>
    </row>
    <row r="130" spans="1:21" x14ac:dyDescent="0.25">
      <c r="A130" s="1" t="s">
        <v>147</v>
      </c>
      <c r="B130" s="2"/>
      <c r="C130" s="2"/>
      <c r="D130" s="1">
        <f t="shared" si="20"/>
        <v>0</v>
      </c>
      <c r="E130" s="2"/>
      <c r="F130" s="1">
        <f t="shared" si="21"/>
        <v>0</v>
      </c>
      <c r="G130" s="2"/>
      <c r="H130" s="1">
        <f t="shared" si="22"/>
        <v>0</v>
      </c>
      <c r="I130" s="1">
        <f t="shared" si="23"/>
        <v>0</v>
      </c>
      <c r="J130" s="1">
        <f t="shared" si="24"/>
        <v>0</v>
      </c>
      <c r="K130" s="2"/>
      <c r="L130" s="3">
        <f t="shared" si="25"/>
        <v>0</v>
      </c>
      <c r="M130" s="2"/>
      <c r="N130" s="2">
        <v>30</v>
      </c>
      <c r="O130" s="2"/>
      <c r="P130" s="1">
        <f t="shared" si="15"/>
        <v>7</v>
      </c>
      <c r="Q130" s="4">
        <v>46660</v>
      </c>
      <c r="R130" s="2">
        <v>0.25</v>
      </c>
      <c r="S130" s="2"/>
      <c r="T130" s="2"/>
      <c r="U130" s="2">
        <f t="shared" si="19"/>
        <v>0</v>
      </c>
    </row>
    <row r="131" spans="1:21" x14ac:dyDescent="0.25">
      <c r="A131" s="1" t="s">
        <v>148</v>
      </c>
      <c r="B131" s="2"/>
      <c r="C131" s="2"/>
      <c r="D131" s="1">
        <f t="shared" si="20"/>
        <v>0</v>
      </c>
      <c r="E131" s="2"/>
      <c r="F131" s="1">
        <f t="shared" si="21"/>
        <v>0</v>
      </c>
      <c r="G131" s="2"/>
      <c r="H131" s="1">
        <f t="shared" si="22"/>
        <v>0</v>
      </c>
      <c r="I131" s="1">
        <f t="shared" si="23"/>
        <v>0</v>
      </c>
      <c r="J131" s="1">
        <f t="shared" si="24"/>
        <v>0</v>
      </c>
      <c r="K131" s="2"/>
      <c r="L131" s="3">
        <f t="shared" si="25"/>
        <v>0</v>
      </c>
      <c r="M131" s="2"/>
      <c r="N131" s="2">
        <v>31</v>
      </c>
      <c r="O131" s="2"/>
      <c r="P131" s="1">
        <f t="shared" si="15"/>
        <v>7</v>
      </c>
      <c r="Q131" s="4">
        <v>46691</v>
      </c>
      <c r="R131" s="2">
        <v>0.25</v>
      </c>
      <c r="S131" s="2"/>
      <c r="T131" s="2"/>
      <c r="U131" s="2">
        <f t="shared" si="19"/>
        <v>0</v>
      </c>
    </row>
    <row r="132" spans="1:21" x14ac:dyDescent="0.25">
      <c r="A132" s="1" t="s">
        <v>149</v>
      </c>
      <c r="B132" s="2"/>
      <c r="C132" s="2"/>
      <c r="D132" s="1">
        <f t="shared" si="20"/>
        <v>0</v>
      </c>
      <c r="E132" s="2"/>
      <c r="F132" s="1">
        <f t="shared" si="21"/>
        <v>0</v>
      </c>
      <c r="G132" s="2"/>
      <c r="H132" s="1">
        <f t="shared" si="22"/>
        <v>0</v>
      </c>
      <c r="I132" s="1">
        <f t="shared" si="23"/>
        <v>0</v>
      </c>
      <c r="J132" s="1">
        <f t="shared" si="24"/>
        <v>0</v>
      </c>
      <c r="K132" s="2"/>
      <c r="L132" s="3">
        <f t="shared" si="25"/>
        <v>0</v>
      </c>
      <c r="M132" s="2"/>
      <c r="N132" s="2">
        <v>30</v>
      </c>
      <c r="O132" s="2"/>
      <c r="P132" s="1">
        <f t="shared" si="15"/>
        <v>7</v>
      </c>
      <c r="Q132" s="4">
        <v>46721</v>
      </c>
      <c r="R132" s="2">
        <v>0.25</v>
      </c>
      <c r="S132" s="2"/>
      <c r="T132" s="2"/>
      <c r="U132" s="2">
        <f t="shared" si="19"/>
        <v>0</v>
      </c>
    </row>
    <row r="133" spans="1:21" x14ac:dyDescent="0.25">
      <c r="A133" s="13" t="s">
        <v>150</v>
      </c>
      <c r="B133" s="11"/>
      <c r="C133" s="11"/>
      <c r="D133" s="13">
        <f t="shared" si="20"/>
        <v>0</v>
      </c>
      <c r="E133" s="11"/>
      <c r="F133" s="13">
        <f t="shared" si="21"/>
        <v>0</v>
      </c>
      <c r="G133" s="11"/>
      <c r="H133" s="13">
        <f t="shared" si="22"/>
        <v>0</v>
      </c>
      <c r="I133" s="13">
        <f t="shared" si="23"/>
        <v>0</v>
      </c>
      <c r="J133" s="13">
        <f t="shared" si="24"/>
        <v>0</v>
      </c>
      <c r="K133" s="11"/>
      <c r="L133" s="14">
        <f t="shared" si="25"/>
        <v>0</v>
      </c>
      <c r="M133" s="11"/>
      <c r="N133" s="11">
        <v>31</v>
      </c>
      <c r="O133" s="11"/>
      <c r="P133" s="13">
        <f t="shared" si="15"/>
        <v>7</v>
      </c>
      <c r="Q133" s="4">
        <v>46752</v>
      </c>
      <c r="R133" s="2">
        <v>0.25</v>
      </c>
      <c r="S133" s="2"/>
      <c r="T133" s="2"/>
      <c r="U133" s="2">
        <f t="shared" si="19"/>
        <v>0</v>
      </c>
    </row>
    <row r="134" spans="1:21" x14ac:dyDescent="0.25">
      <c r="A134" s="1" t="s">
        <v>153</v>
      </c>
      <c r="B134" s="2"/>
      <c r="C134" s="2"/>
      <c r="D134" s="13">
        <f t="shared" ref="D134:D140" si="26">ROUND(B134*C134,0)</f>
        <v>0</v>
      </c>
      <c r="E134" s="11"/>
      <c r="F134" s="13">
        <f t="shared" ref="F134:F140" si="27">ROUND(B134*E134,0)</f>
        <v>0</v>
      </c>
      <c r="G134" s="2"/>
      <c r="H134" s="13">
        <f t="shared" ref="H134:H140" si="28">G134/100</f>
        <v>0</v>
      </c>
      <c r="I134" s="13">
        <f t="shared" ref="I134:I140" si="29">+C134*0.07</f>
        <v>0</v>
      </c>
      <c r="J134" s="13">
        <f t="shared" ref="J134:J140" si="30">ROUND(B134*I134,0)</f>
        <v>0</v>
      </c>
      <c r="K134" s="2"/>
      <c r="L134" s="14">
        <f t="shared" si="25"/>
        <v>0</v>
      </c>
      <c r="M134" s="2"/>
      <c r="N134" s="2">
        <v>31</v>
      </c>
      <c r="O134" s="2"/>
      <c r="P134" s="13">
        <f t="shared" si="15"/>
        <v>7</v>
      </c>
      <c r="Q134" s="10" t="str">
        <f>_xlfn.CONCAT(N134,"-",RIGHT(A134,2),"-",LEFT(A134,4))</f>
        <v>31-01-2028</v>
      </c>
      <c r="R134" s="2">
        <v>0.25</v>
      </c>
      <c r="S134" s="2"/>
      <c r="T134" s="2"/>
      <c r="U134" s="2">
        <f t="shared" si="19"/>
        <v>0</v>
      </c>
    </row>
    <row r="135" spans="1:21" x14ac:dyDescent="0.25">
      <c r="A135" s="1" t="s">
        <v>154</v>
      </c>
      <c r="B135" s="2"/>
      <c r="C135" s="2"/>
      <c r="D135" s="1">
        <f t="shared" si="26"/>
        <v>0</v>
      </c>
      <c r="E135" s="2"/>
      <c r="F135" s="1">
        <f t="shared" si="27"/>
        <v>0</v>
      </c>
      <c r="G135" s="2"/>
      <c r="H135" s="1">
        <f t="shared" si="28"/>
        <v>0</v>
      </c>
      <c r="I135" s="1">
        <f t="shared" si="29"/>
        <v>0</v>
      </c>
      <c r="J135" s="1">
        <f t="shared" si="30"/>
        <v>0</v>
      </c>
      <c r="K135" s="2"/>
      <c r="L135" s="3">
        <f t="shared" si="25"/>
        <v>0</v>
      </c>
      <c r="M135" s="2"/>
      <c r="N135" s="2">
        <v>30</v>
      </c>
      <c r="O135" s="2"/>
      <c r="P135" s="1">
        <f t="shared" si="15"/>
        <v>7</v>
      </c>
      <c r="Q135" s="10" t="str">
        <f t="shared" ref="Q135:Q140" si="31">_xlfn.CONCAT(N135,"-",RIGHT(A135,2),"-",LEFT(A135,4))</f>
        <v>30-02-2028</v>
      </c>
      <c r="R135" s="2">
        <v>0.25</v>
      </c>
      <c r="S135" s="2"/>
      <c r="T135" s="2"/>
      <c r="U135" s="2">
        <f t="shared" si="19"/>
        <v>0</v>
      </c>
    </row>
    <row r="136" spans="1:21" x14ac:dyDescent="0.25">
      <c r="A136" s="1" t="s">
        <v>155</v>
      </c>
      <c r="B136" s="2"/>
      <c r="C136" s="2"/>
      <c r="D136" s="1">
        <f t="shared" si="26"/>
        <v>0</v>
      </c>
      <c r="E136" s="2"/>
      <c r="F136" s="1">
        <f t="shared" si="27"/>
        <v>0</v>
      </c>
      <c r="G136" s="2"/>
      <c r="H136" s="1">
        <f t="shared" si="28"/>
        <v>0</v>
      </c>
      <c r="I136" s="1">
        <f t="shared" si="29"/>
        <v>0</v>
      </c>
      <c r="J136" s="1">
        <f t="shared" si="30"/>
        <v>0</v>
      </c>
      <c r="K136" s="2"/>
      <c r="L136" s="3">
        <f t="shared" si="25"/>
        <v>0</v>
      </c>
      <c r="M136" s="2"/>
      <c r="N136" s="2">
        <v>31</v>
      </c>
      <c r="O136" s="2"/>
      <c r="P136" s="1">
        <f t="shared" si="15"/>
        <v>7</v>
      </c>
      <c r="Q136" s="10" t="str">
        <f t="shared" si="31"/>
        <v>31-03-2028</v>
      </c>
      <c r="R136" s="2">
        <v>0.25</v>
      </c>
      <c r="S136" s="2"/>
      <c r="T136" s="2"/>
      <c r="U136" s="2">
        <f t="shared" si="19"/>
        <v>0</v>
      </c>
    </row>
    <row r="137" spans="1:21" x14ac:dyDescent="0.25">
      <c r="A137" s="1" t="s">
        <v>156</v>
      </c>
      <c r="B137" s="2"/>
      <c r="C137" s="2"/>
      <c r="D137" s="1">
        <f t="shared" si="26"/>
        <v>0</v>
      </c>
      <c r="E137" s="2"/>
      <c r="F137" s="1">
        <f t="shared" si="27"/>
        <v>0</v>
      </c>
      <c r="G137" s="2"/>
      <c r="H137" s="1">
        <f t="shared" si="28"/>
        <v>0</v>
      </c>
      <c r="I137" s="1">
        <f t="shared" si="29"/>
        <v>0</v>
      </c>
      <c r="J137" s="1">
        <f t="shared" si="30"/>
        <v>0</v>
      </c>
      <c r="K137" s="2"/>
      <c r="L137" s="3">
        <f t="shared" si="25"/>
        <v>0</v>
      </c>
      <c r="M137" s="2"/>
      <c r="N137" s="2">
        <v>30</v>
      </c>
      <c r="O137" s="2"/>
      <c r="P137" s="1">
        <f t="shared" si="15"/>
        <v>7</v>
      </c>
      <c r="Q137" s="10" t="str">
        <f t="shared" si="31"/>
        <v>30-04-2028</v>
      </c>
      <c r="R137" s="2">
        <v>0.25</v>
      </c>
      <c r="S137" s="2"/>
      <c r="T137" s="2"/>
      <c r="U137" s="2">
        <f t="shared" si="19"/>
        <v>0</v>
      </c>
    </row>
    <row r="138" spans="1:21" x14ac:dyDescent="0.25">
      <c r="A138" s="1" t="s">
        <v>157</v>
      </c>
      <c r="B138" s="2"/>
      <c r="C138" s="2"/>
      <c r="D138" s="1">
        <f t="shared" si="26"/>
        <v>0</v>
      </c>
      <c r="E138" s="2"/>
      <c r="F138" s="1">
        <f t="shared" si="27"/>
        <v>0</v>
      </c>
      <c r="G138" s="2"/>
      <c r="H138" s="1">
        <f t="shared" si="28"/>
        <v>0</v>
      </c>
      <c r="I138" s="1">
        <f t="shared" si="29"/>
        <v>0</v>
      </c>
      <c r="J138" s="1">
        <f t="shared" si="30"/>
        <v>0</v>
      </c>
      <c r="K138" s="2"/>
      <c r="L138" s="3">
        <f t="shared" si="25"/>
        <v>0</v>
      </c>
      <c r="M138" s="2"/>
      <c r="N138" s="2">
        <v>31</v>
      </c>
      <c r="O138" s="2"/>
      <c r="P138" s="1">
        <f t="shared" si="15"/>
        <v>7</v>
      </c>
      <c r="Q138" s="10" t="str">
        <f t="shared" si="31"/>
        <v>31-05-2028</v>
      </c>
      <c r="R138" s="2">
        <v>0.25</v>
      </c>
      <c r="S138" s="2"/>
      <c r="T138" s="2"/>
      <c r="U138" s="2">
        <f t="shared" si="19"/>
        <v>0</v>
      </c>
    </row>
    <row r="139" spans="1:21" x14ac:dyDescent="0.25">
      <c r="A139" s="1" t="s">
        <v>158</v>
      </c>
      <c r="B139" s="2"/>
      <c r="C139" s="2"/>
      <c r="D139" s="1">
        <f t="shared" si="26"/>
        <v>0</v>
      </c>
      <c r="E139" s="2"/>
      <c r="F139" s="1">
        <f t="shared" si="27"/>
        <v>0</v>
      </c>
      <c r="G139" s="2"/>
      <c r="H139" s="1">
        <f t="shared" si="28"/>
        <v>0</v>
      </c>
      <c r="I139" s="1">
        <f t="shared" si="29"/>
        <v>0</v>
      </c>
      <c r="J139" s="1">
        <f t="shared" si="30"/>
        <v>0</v>
      </c>
      <c r="K139" s="2"/>
      <c r="L139" s="3">
        <f t="shared" si="25"/>
        <v>0</v>
      </c>
      <c r="M139" s="2"/>
      <c r="N139" s="2">
        <v>30</v>
      </c>
      <c r="O139" s="2"/>
      <c r="P139" s="1">
        <f t="shared" ref="P139:P140" si="32">7-O139</f>
        <v>7</v>
      </c>
      <c r="Q139" s="10" t="str">
        <f t="shared" si="31"/>
        <v>30-06-2028</v>
      </c>
      <c r="R139" s="2">
        <v>0.25</v>
      </c>
      <c r="S139" s="2"/>
      <c r="T139" s="2"/>
      <c r="U139" s="2">
        <f t="shared" si="19"/>
        <v>0</v>
      </c>
    </row>
    <row r="140" spans="1:21" x14ac:dyDescent="0.25">
      <c r="A140" s="1" t="s">
        <v>159</v>
      </c>
      <c r="B140" s="2"/>
      <c r="C140" s="2"/>
      <c r="D140" s="1">
        <f t="shared" si="26"/>
        <v>0</v>
      </c>
      <c r="E140" s="2"/>
      <c r="F140" s="1">
        <f t="shared" si="27"/>
        <v>0</v>
      </c>
      <c r="G140" s="2"/>
      <c r="H140" s="1">
        <f t="shared" si="28"/>
        <v>0</v>
      </c>
      <c r="I140" s="1">
        <f t="shared" si="29"/>
        <v>0</v>
      </c>
      <c r="J140" s="1">
        <f t="shared" si="30"/>
        <v>0</v>
      </c>
      <c r="K140" s="2"/>
      <c r="L140" s="3">
        <f t="shared" si="25"/>
        <v>0</v>
      </c>
      <c r="M140" s="2"/>
      <c r="N140" s="2">
        <v>31</v>
      </c>
      <c r="O140" s="2"/>
      <c r="P140" s="1">
        <f t="shared" si="32"/>
        <v>7</v>
      </c>
      <c r="Q140" s="10" t="str">
        <f t="shared" si="31"/>
        <v>31-07-2028</v>
      </c>
      <c r="R140" s="2">
        <v>0.25</v>
      </c>
      <c r="S140" s="2"/>
      <c r="T140" s="2"/>
      <c r="U140" s="2">
        <f t="shared" si="19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Cornejo</dc:creator>
  <cp:lastModifiedBy>Sandro Cornejo</cp:lastModifiedBy>
  <dcterms:created xsi:type="dcterms:W3CDTF">2026-04-29T15:44:16Z</dcterms:created>
  <dcterms:modified xsi:type="dcterms:W3CDTF">2026-10-08T22:11:14Z</dcterms:modified>
</cp:coreProperties>
</file>